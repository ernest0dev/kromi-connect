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icitudes de diseño" sheetId="1" r:id="rId5"/>
    <sheet state="visible" name="Hoja 1" sheetId="2" r:id="rId6"/>
  </sheets>
  <definedNames>
    <definedName hidden="1" localSheetId="0" name="_xlnm._FilterDatabase">'Solicitudes de diseño'!$A$1:$V$365</definedName>
  </definedNames>
  <calcPr/>
  <pivotCaches>
    <pivotCache cacheId="0" r:id="rId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tc={005a8c45-989e-4bb0-8b77-c8640c246304}</author>
    <author>tc={017449ac-7a64-4de2-ab51-5104e201c7a1}</author>
    <author>tc={028b2ed3-92b2-4296-af74-994c6b1f1138}</author>
    <author>tc={02e6df9c-2eb7-43f6-b390-fb62556d3242}</author>
    <author>tc={052366d4-8ed5-450a-a100-0237dd6c11a7}</author>
    <author>tc={0537b882-3ba0-4bea-babf-0d27aaef8e48}</author>
    <author>tc={09bc2190-a636-4357-a872-149110be5d5a}</author>
    <author>tc={09f369a2-0753-412c-bf93-88ee9148d89d}</author>
    <author>tc={0b866d6d-3c4e-48d8-949e-391c7cac8f7d}</author>
    <author>tc={0c8f4de7-9867-4ecd-88bb-9d6413c4de71}</author>
    <author>tc={0d865261-6fa7-45c0-b5fd-bf7b1f9302db}</author>
    <author>tc={1200fc92-a82b-4420-82bc-922e9bbe0060}</author>
    <author>tc={1339590e-7a4d-440c-b9f3-8814645f8204}</author>
    <author>tc={13f2cf11-6c05-4e27-b1ec-59f51c49ada4}</author>
    <author>tc={164499ac-0cdc-4497-9740-8988f9ca5955}</author>
    <author>tc={1680daf4-8262-46c4-b680-8baf6e0c97e0}</author>
    <author>tc={16cd84fa-1d22-48dc-99e7-f60ff6e463fe}</author>
    <author>tc={17c603fc-f8a6-4cc7-88c7-6b938729add8}</author>
    <author>tc={17fe783c-ae90-4319-9839-7f379aae2258}</author>
    <author>tc={18100fe6-effd-4832-9b26-ac3558a16cf8}</author>
    <author>tc={18687c92-23a7-4d2c-8e04-68869bdfcbc2}</author>
    <author>tc={19b7c2db-f7a6-4f1c-b701-019aecec820d}</author>
    <author>tc={1b0ae907-5341-431f-86f3-a4eb3456388e}</author>
    <author>tc={1b124b40-7db5-46f5-9671-ca31d622c684}</author>
    <author>tc={1b51ea8d-8551-401d-a682-b2d062d60b57}</author>
    <author>tc={1d3bbee7-57a9-4696-b761-8ed34a40e56c}</author>
    <author>tc={1dd65e0d-40b2-406d-815f-823cea332a30}</author>
    <author>tc={20c0d802-4d3b-466d-8797-d2453d221027}</author>
    <author>tc={20d8a0a7-0a66-4438-b435-97c5318b3ba4}</author>
    <author>tc={230d4c19-ebe1-4d25-b9b4-5d2b1971d89e}</author>
    <author>tc={239b06f5-81a0-4855-bc33-a3b2811308fd}</author>
    <author>tc={241e40be-e2fb-4fd4-8693-d161b62f4da5}</author>
    <author>tc={25b37d83-4d0a-4c72-8168-227608d2a109}</author>
    <author>tc={26275dfe-47da-4fa2-8d07-c629f27ee421}</author>
    <author>tc={27e87178-3208-40bb-89b2-b96b0e4648c5}</author>
    <author>tc={29fe16bd-6df0-4222-98f9-ad80cdf9d12e}</author>
    <author>tc={29ffed2a-ac69-480f-aa94-fc9f188dd0f9}</author>
    <author>tc={2a0ed73f-0ca3-4b5b-822b-f3c6cc42a476}</author>
    <author>tc={2c5531ec-a2dd-4386-9734-02473f641d85}</author>
    <author>tc={2e96aeb2-568f-428e-987c-298a8a823ed6}</author>
    <author>tc={2fabb2c2-97be-42c4-b13c-0879d97e37dc}</author>
    <author>tc={31300c35-376b-49df-baf6-9bb9f8074444}</author>
    <author>tc={32ae2bf4-9b47-4511-a754-708f38536980}</author>
    <author>tc={32b78d9b-e0c8-4397-b440-56a1496712a9}</author>
    <author>tc={376af125-be03-41c2-be8d-a5b4279e5526}</author>
    <author>tc={38a3590b-e102-414a-88f8-b393d7d0f202}</author>
    <author>tc={3d51b74a-442b-4af1-909b-5b129007be09}</author>
    <author>tc={3ed341f0-5c37-4218-8346-89258574d6ed}</author>
    <author>tc={4059c052-f872-4938-90d0-80382546d48c}</author>
    <author>tc={44f5980d-db7b-48f6-8761-4d02392262d2}</author>
    <author>tc={45000acc-3471-48d5-8661-24af641b4e43}</author>
    <author>tc={47422047-05f0-4b90-bbd9-ea9f1f7dc1e8}</author>
    <author>tc={47cb9183-9508-4faa-9d09-f4ca5e1dc2b1}</author>
    <author>tc={4a4a98f7-5526-4b58-b1be-355dd73fc96c}</author>
    <author>tc={4b7ac84e-6f3b-4432-b0b0-2d0d7bb45c79}</author>
    <author>tc={4bc31252-798f-4483-a35e-a76906f48503}</author>
    <author>tc={4dccf138-318f-458f-95e7-1cec11cb43c0}</author>
    <author>tc={4eb43cab-ca95-4698-84cc-e81764de8c55}</author>
    <author>tc={4ed38bf9-eae7-42a3-bc50-3817f108fc35}</author>
    <author>tc={4ee6b70c-d608-4295-8561-81f270a2e298}</author>
    <author>tc={4f3d6341-e38f-4983-b1a5-eb0d27205e56}</author>
    <author>tc={51548844-c779-43be-b87d-b425608fd05a}</author>
    <author>tc={5199b2d5-11c4-42fe-9fed-2132824d8d23}</author>
    <author>tc={51a1e366-be00-4433-9734-de85bdd3c4f7}</author>
    <author>tc={53871025-18c7-4037-ba93-825c48daafb3}</author>
    <author>tc={53f9b0cd-536f-474a-9d4f-6167aed9c9b9}</author>
    <author>tc={54448340-0c7c-45cb-bd97-ed5b3bad4db9}</author>
    <author>tc={55d97304-7441-4e68-99cb-ab68cc9a67ae}</author>
    <author>tc={57e5bd4f-0a39-4d8b-aa9b-28f14013a3bd}</author>
    <author>tc={57fcf5e7-88c9-498a-ba5a-37758298966a}</author>
    <author>tc={584ea670-9425-420e-93e6-0bace5fd7192}</author>
    <author>tc={5855900f-26c6-4eb9-bc04-887e8fe5342a}</author>
    <author>tc={591fa238-ae0b-4253-8b5b-72761652a04a}</author>
    <author>tc={5ba0ba68-1d31-4b00-9c7d-3d8b209017c3}</author>
    <author>tc={5cee4af0-4209-4b9d-a8e0-9333fae06a5a}</author>
    <author>tc={5f0cf36b-96dc-4e27-b12e-6474a0fa49b9}</author>
    <author>tc={5fb3cad6-212c-4ff1-8575-7a090b7909e8}</author>
    <author>tc={63b1e89b-71e7-41bb-b96e-098496089e32}</author>
    <author>tc={63c75632-66fa-4a1f-bfcf-c5945b40871f}</author>
    <author>tc={6424eb95-7d6d-4d62-81f5-11d2a71166bf}</author>
    <author>tc={643a2da5-6656-45f3-91e0-fb2a8d6e4247}</author>
    <author>tc={67313b9e-0553-4f6d-9b39-fe3221b3b076}</author>
    <author>tc={68202f34-51b7-4ad4-ac6e-b496707dafbf}</author>
    <author>tc={6a117da9-4260-42e8-910c-ec37410cc73b}</author>
    <author>tc={6ab0aa61-5ffe-425c-8af2-48848fa7111d}</author>
    <author>tc={6b5509a1-c7f0-406f-8d16-30af7d44598f}</author>
    <author>tc={6bd2c988-aa82-4e29-b9c8-abf2e2a8bd0e}</author>
    <author>tc={6db4a611-571b-4c59-9813-775bb258942b}</author>
    <author>tc={6dcef4b4-fbf8-44ab-ad92-5e056dc01bce}</author>
    <author>tc={6dee1859-53e0-45f2-8f37-809fae4fac6b}</author>
    <author>tc={6e3d0661-7e12-487d-b021-057fb4a38207}</author>
    <author>tc={6e69f6b8-faad-47f6-b895-543bfc2746af}</author>
    <author>tc={72166310-eee7-4ce5-ba62-840a031e24b2}</author>
    <author>tc={7224c795-5c47-40e9-af3a-de3e05224878}</author>
    <author>tc={72b707c1-a0c0-444c-b7e7-420a294e12d2}</author>
    <author>tc={734b12d5-eb04-4995-94d0-1ea117abe2bb}</author>
    <author>tc={745f9371-fd03-4dd3-8c35-14e97294f880}</author>
    <author>tc={75e089f1-cf7d-4dda-928a-2271302198eb}</author>
    <author>tc={77952cba-2aa1-4906-91ce-3e2795a65cfc}</author>
    <author>tc={77d51c10-fca9-4ccd-a5f0-773cf1875e03}</author>
    <author>tc={78063afe-1d9b-4242-a0e1-4ff8954d27f9}</author>
    <author>tc={7a75ab88-d9c9-4aab-a26f-3a4798a28ea3}</author>
    <author>tc={7b8b7adc-e418-4444-948b-447accec3785}</author>
    <author>tc={7c5dda55-9004-4c55-95d5-35f724a959b8}</author>
    <author>tc={7d969e95-56b6-4dd6-b920-f056e1e89d65}</author>
    <author>tc={7ddab1fd-fc37-476b-b020-b42a83f31f55}</author>
    <author>tc={7ec35b84-e8d6-4817-8836-5c2643bb0170}</author>
    <author>tc={80330d30-4e1b-4812-93a2-e83c08983928}</author>
    <author>tc={81be1850-df73-4d4c-954e-66da669447f2}</author>
    <author>tc={8388b8c9-6a2b-4a69-9aaf-4b096ccb9eb7}</author>
    <author>tc={83897b33-7824-439b-89c7-48d8dc54eed4}</author>
    <author>tc={854590a6-9da0-492a-8cd8-11e1805238e6}</author>
    <author>tc={859b7d82-ed8d-4af7-9255-b08c0016f3f0}</author>
    <author>tc={85c19eb5-c622-400c-bcee-f7c954631b3f}</author>
    <author>tc={85f06efe-be97-4f71-86e1-aff367bb7e6f}</author>
    <author>tc={86319c59-32d2-43af-98f5-73dae9d3b203}</author>
    <author>tc={8aef0400-8ee2-44a8-8553-7c9faa3bd328}</author>
    <author>tc={8f12b0e7-c821-438e-8759-1c11d06eb146}</author>
    <author>tc={8f62246f-b9cc-42a3-ad0e-7bbbc7f72f2f}</author>
    <author>tc={90fafd8c-519c-42f9-b7b1-329d30749eb7}</author>
    <author>tc={916e7f5d-6fe7-419f-a194-5ebc48eda636}</author>
    <author>tc={95368918-ed32-471e-b5e8-a425a4c6cd47}</author>
    <author>tc={99f27365-0c67-44ae-9df0-009bd5fc4d7c}</author>
    <author>tc={9ab0adfb-3c6e-400f-af17-5bba94b819e3}</author>
    <author>tc={9c708bf3-ec03-4047-9b31-c9deacf16ca7}</author>
    <author>tc={9e6b1961-70a7-40e3-88a7-a6e65c7f2c80}</author>
    <author>tc={9f4cb232-c3e2-4e48-b5c5-3f6613c3373b}</author>
    <author>tc={9fbf3629-ba4e-494d-81ef-6f52ec97ab49}</author>
    <author>tc={a32b7ac0-4d6c-44e2-9b51-a1b0b3bb5df1}</author>
    <author>tc={a3ad4dd4-5495-4e60-b7a8-0a5f772fde75}</author>
    <author>tc={a5437831-75b3-4617-8df4-7f27de14d7e2}</author>
    <author>tc={a5b160dd-ab0a-4a39-9791-e3897aa09aaf}</author>
    <author>tc={a7ae15eb-4ea3-4872-8a58-1cb269f36f5e}</author>
    <author>tc={a8d9bf7c-e0d1-40e7-bd7c-26b7ee5ed368}</author>
    <author>tc={abb4853c-405e-42cd-8ee0-169031cad36a}</author>
    <author>tc={ac9476a6-8109-421c-bb94-939d83b70969}</author>
    <author>tc={ae7691d7-336d-4490-885d-188b02a5a6b3}</author>
    <author>tc={aea18ac2-f3be-4f50-ad9e-c72a4b2b95de}</author>
    <author>tc={afb9b9b6-c052-433f-8e39-ea149afe6952}</author>
    <author>tc={b0bc6402-39dd-42a2-b7a6-c9d1b707038a}</author>
    <author>tc={b209f9c5-cff5-4346-8e63-e3e0733d7cd2}</author>
    <author>tc={b34e9c5a-cc35-4711-bc66-1e03d64795db}</author>
    <author>tc={b577985d-497a-46d8-8157-78a29a4cd8ae}</author>
    <author>tc={b6df5768-9219-41e6-a2fb-d0aa61344c63}</author>
    <author>tc={b91d433b-ca40-4b1b-b755-5ecc13fa3319}</author>
    <author>tc={b9e8b265-2c87-42d6-a4ad-dd52b1427f05}</author>
    <author>tc={ba48c31c-180c-47cc-87fc-2b9b9716dd3e}</author>
    <author>tc={bbb11502-0426-4575-97cb-bf8f6fcddf0e}</author>
    <author>tc={bcfa1adc-339e-4d14-abda-42f5adc5e1f8}</author>
    <author>tc={bf38f808-3762-4709-b5c0-c4812942fb5d}</author>
    <author>tc={c0b3c0aa-f534-4bbd-8aec-fb41f38d5ae7}</author>
    <author>tc={c18dd2c2-0afb-4f31-b888-858b9799478a}</author>
    <author>tc={c236e548-42d9-4f8d-9794-4206cff9a708}</author>
    <author>tc={c262ddb8-b92c-4d7e-9a85-45c88da01149}</author>
    <author>tc={c3114de9-fc3b-4868-bf0e-162285373c6c}</author>
    <author>tc={c360ec8b-9435-4972-b441-437825816c66}</author>
    <author>tc={c83efafa-b6d0-4fc2-866c-2359f7791f81}</author>
    <author>tc={c8a4a347-3ef9-4186-89d2-48d160086286}</author>
    <author>tc={c96c080e-1b91-40b6-a859-6007a86ec7a9}</author>
    <author>tc={c9f5ef61-5c44-4d5d-9f8b-fce6d1b4091a}</author>
    <author>tc={ca34e0c7-217e-4c79-8f9e-fca2324bc5c1}</author>
    <author>tc={cfa8d182-b29c-4a82-992b-dc87f71d9773}</author>
    <author>tc={d0e542d3-909a-427c-b577-e5ed2f0d5e07}</author>
    <author>tc={d3fa75fd-8214-43d4-a4f7-298228a0a94c}</author>
    <author>tc={d48ab26f-4014-49a9-9d8e-4a6728c9fbc3}</author>
    <author>tc={d6c05b7d-ded3-43e9-acd8-6ea324af8ffd}</author>
    <author>tc={d72467e6-4c0e-4332-afab-afca5dfc3e22}</author>
    <author>tc={dafa94f3-2e21-43f1-b739-e07746360e87}</author>
    <author>tc={db00e084-0b17-4c50-9339-b279ae13fa88}</author>
    <author>tc={db7621df-b1f0-4a18-bed8-c4a4d16e40f6}</author>
    <author>tc={dba301b0-655d-45b4-9a2c-d4e8067f49ef}</author>
    <author>tc={dc2cdd7e-ed53-4178-aa98-3b724a35ceaa}</author>
    <author>tc={e0e70153-3d97-4e18-9b4f-56f38598a2da}</author>
    <author>tc={e6c2fd2e-d8da-404c-ab9e-25e653810adb}</author>
    <author>tc={e7cad992-0225-46ee-98e0-301d50b74b2d}</author>
    <author>tc={e8877a77-65e7-4e6e-9e65-31b1e7380597}</author>
    <author>tc={e89e31b8-20ff-408d-ba12-d9fe1263ecfd}</author>
    <author>tc={e8e3cade-68d5-4e95-bb46-38368c073dcc}</author>
    <author>tc={e92de04f-4b38-483d-b5c8-f267e1ffc7a8}</author>
    <author>tc={ee6ecc72-7294-43aa-8046-71aa1c30e6d7}</author>
    <author>tc={efde5984-19d4-4822-9087-f062392d35fb}</author>
    <author>tc={f1f8f889-f29e-431b-b048-a5a7e076c260}</author>
    <author>tc={f33c4d3a-fce9-4eea-9556-a80df44610c0}</author>
    <author>tc={f59d2703-bd48-448e-8e10-250da3e759ee}</author>
    <author>tc={f60e7b80-9c71-423b-8327-fd6949064d82}</author>
    <author>tc={f61f5b53-c007-417e-9d66-d21ad3e2fced}</author>
    <author>tc={f9b893db-1486-43cc-a070-77d6c90eadf6}</author>
    <author>tc={fa20eef8-6e66-43d5-b76f-f7a1c8eb0759}</author>
    <author>tc={fba972a0-157f-4b74-81a6-5b29b3bd6cd1}</author>
    <author>tc={fc5bbd0a-5e3a-4871-8771-562d42692ac4}</author>
    <author>tc={fd2d2fcd-2d15-4e5b-9f05-991cae2cb8f9}</author>
    <author>tc={fe51b761-cd58-4d22-aabc-586fab6e6265}</author>
    <author>tc={ff74638d-7f58-4f7e-8b01-ea5d52fb5acc}</author>
  </authors>
  <commentList>
    <comment authorId="0" xr:uid="{005a8c45-989e-4bb0-8b77-c8640c246304}" ref="I13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 xr:uid="{017449ac-7a64-4de2-ab51-5104e201c7a1}" ref="I38">
      <text>
        <t xml:space="preserve">[Threaded comment]
 Your version of Excel allows you to read this threaded comment; however, any edits to it will get removed if the file is opened in a newer version of Excel. Learn more: https://go.microsoft.com/fwlink/?linkid=870924
Comment:
	LISTOO
</t>
      </text>
    </comment>
    <comment authorId="2" xr:uid="{028b2ed3-92b2-4296-af74-994c6b1f1138}" ref="I80">
      <text>
        <t xml:space="preserve">[Threaded comment]
 Your version of Excel allows you to read this threaded comment; however, any edits to it will get removed if the file is opened in a newer version of Excel. Learn more: https://go.microsoft.com/fwlink/?linkid=870924
Comment:
	CANCELADO
</t>
      </text>
    </comment>
    <comment authorId="3" xr:uid="{02e6df9c-2eb7-43f6-b390-fb62556d3242}" ref="I22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4" xr:uid="{052366d4-8ed5-450a-a100-0237dd6c11a7}" ref="I45">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5" xr:uid="{0537b882-3ba0-4bea-babf-0d27aaef8e48}" ref="C139">
      <text>
        <t xml:space="preserve">[Threaded comment]
 Your version of Excel allows you to read this threaded comment; however, any edits to it will get removed if the file is opened in a newer version of Excel. Learn more: https://go.microsoft.com/fwlink/?linkid=870924
Comment:
	Agregar al inicio el Contenido -
</t>
      </text>
    </comment>
    <comment authorId="6" xr:uid="{09bc2190-a636-4357-a872-149110be5d5a}" ref="I71">
      <text>
        <t xml:space="preserve">[Threaded comment]
 Your version of Excel allows you to read this threaded comment; however, any edits to it will get removed if the file is opened in a newer version of Excel. Learn more: https://go.microsoft.com/fwlink/?linkid=870924
Comment:
	listo
Reply:
	POR APROBAR
Reply:
	LISTO
</t>
      </text>
    </comment>
    <comment authorId="7" xr:uid="{09f369a2-0753-412c-bf93-88ee9148d89d}" ref="J163">
      <text>
        <t xml:space="preserve">[Threaded comment]
 Your version of Excel allows you to read this threaded comment; however, any edits to it will get removed if the file is opened in a newer version of Excel. Learn more: https://go.microsoft.com/fwlink/?linkid=870924
Comment:
	Terminado a las 10:00 am
Reply:
	Marcado como resuelto
Reply:
	Reabierto
</t>
      </text>
    </comment>
    <comment authorId="8" xr:uid="{0b866d6d-3c4e-48d8-949e-391c7cac8f7d}" ref="B26">
      <text>
        <t xml:space="preserve">[Threaded comment]
 Your version of Excel allows you to read this threaded comment; however, any edits to it will get removed if the file is opened in a newer version of Excel. Learn more: https://go.microsoft.com/fwlink/?linkid=870924
Comment:
	@content.creatorerni@gmail.com por fa cambia la fecha a 05/08/2026
Asignado a content.creatorerni@gmail.com
</t>
      </text>
    </comment>
    <comment authorId="9" xr:uid="{0c8f4de7-9867-4ecd-88bb-9d6413c4de71}" ref="I14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0" xr:uid="{0d865261-6fa7-45c0-b5fd-bf7b1f9302db}" ref="I8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1" xr:uid="{1200fc92-a82b-4420-82bc-922e9bbe0060}" ref="I57">
      <text>
        <t xml:space="preserve">[Threaded comment]
 Your version of Excel allows you to read this threaded comment; however, any edits to it will get removed if the file is opened in a newer version of Excel. Learn more: https://go.microsoft.com/fwlink/?linkid=870924
Comment:
	@content.creatorerni@gmail.com LISTO
Asignado a content.creatorerni@gmail.com
</t>
      </text>
    </comment>
    <comment authorId="12" xr:uid="{1339590e-7a4d-440c-b9f3-8814645f8204}" ref="I12">
      <text>
        <t xml:space="preserve">[Threaded comment]
 Your version of Excel allows you to read this threaded comment; however, any edits to it will get removed if the file is opened in a newer version of Excel. Learn more: https://go.microsoft.com/fwlink/?linkid=870924
Comment:
	lsiyto
</t>
      </text>
    </comment>
    <comment authorId="13" xr:uid="{13f2cf11-6c05-4e27-b1ec-59f51c49ada4}" ref="I2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4" xr:uid="{164499ac-0cdc-4497-9740-8988f9ca5955}" ref="F219">
      <text>
        <t xml:space="preserve">[Threaded comment]
 Your version of Excel allows you to read this threaded comment; however, any edits to it will get removed if the file is opened in a newer version of Excel. Learn more: https://go.microsoft.com/fwlink/?linkid=870924
Comment:
	reedirecionar a johanna
</t>
      </text>
    </comment>
    <comment authorId="15" xr:uid="{1680daf4-8262-46c4-b680-8baf6e0c97e0}" ref="H88">
      <text>
        <t xml:space="preserve">[Threaded comment]
 Your version of Excel allows you to read this threaded comment; however, any edits to it will get removed if the file is opened in a newer version of Excel. Learn more: https://go.microsoft.com/fwlink/?linkid=870924
Comment:
	agregar importante
</t>
      </text>
    </comment>
    <comment authorId="16" xr:uid="{16cd84fa-1d22-48dc-99e7-f60ff6e463fe}" ref="F223">
      <text>
        <t xml:space="preserve">[Threaded comment]
 Your version of Excel allows you to read this threaded comment; however, any edits to it will get removed if the file is opened in a newer version of Excel. Learn more: https://go.microsoft.com/fwlink/?linkid=870924
Comment:
	reedirecionar a johanna
</t>
      </text>
    </comment>
    <comment authorId="17" xr:uid="{17c603fc-f8a6-4cc7-88c7-6b938729add8}" ref="H2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8" xr:uid="{17fe783c-ae90-4319-9839-7f379aae2258}" ref="I136">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9" xr:uid="{18100fe6-effd-4832-9b26-ac3558a16cf8}" ref="I130">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20" xr:uid="{18687c92-23a7-4d2c-8e04-68869bdfcbc2}" ref="I137">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21" xr:uid="{19b7c2db-f7a6-4f1c-b701-019aecec820d}" ref="I110">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22" xr:uid="{1b0ae907-5341-431f-86f3-a4eb3456388e}" ref="I43">
      <text>
        <t xml:space="preserve">[Threaded comment]
 Your version of Excel allows you to read this threaded comment; however, any edits to it will get removed if the file is opened in a newer version of Excel. Learn more: https://go.microsoft.com/fwlink/?linkid=870924
Comment:
	LISTO
Reply:
	LISTO
</t>
      </text>
    </comment>
    <comment authorId="23" xr:uid="{1b124b40-7db5-46f5-9671-ca31d622c684}" ref="I5">
      <text>
        <t xml:space="preserve">[Threaded comment]
 Your version of Excel allows you to read this threaded comment; however, any edits to it will get removed if the file is opened in a newer version of Excel. Learn more: https://go.microsoft.com/fwlink/?linkid=870924
Comment:
	TERMINADO
</t>
      </text>
    </comment>
    <comment authorId="24" xr:uid="{1b51ea8d-8551-401d-a682-b2d062d60b57}" ref="I3">
      <text>
        <t xml:space="preserve">[Threaded comment]
 Your version of Excel allows you to read this threaded comment; however, any edits to it will get removed if the file is opened in a newer version of Excel. Learn more: https://go.microsoft.com/fwlink/?linkid=870924
Comment:
	@content.creatorerni@gmail.com @fhernandez.kromimarket@gmail.com Salutación esperando por aprobacion
Asignado a content.creatorerni@gmail.com
</t>
      </text>
    </comment>
    <comment authorId="25" xr:uid="{1d3bbee7-57a9-4696-b761-8ed34a40e56c}" ref="I65">
      <text>
        <t xml:space="preserve">[Threaded comment]
 Your version of Excel allows you to read this threaded comment; however, any edits to it will get removed if the file is opened in a newer version of Excel. Learn more: https://go.microsoft.com/fwlink/?linkid=870924
Comment:
	@content.creatorerni@gmail.com POR APROBAR
Asignado a content.creatorerni@gmail.com
</t>
      </text>
    </comment>
    <comment authorId="26" xr:uid="{1dd65e0d-40b2-406d-815f-823cea332a30}" ref="I3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27" xr:uid="{20c0d802-4d3b-466d-8797-d2453d221027}" ref="I3">
      <text>
        <t xml:space="preserve">[Threaded comment]
 Your version of Excel allows you to read this threaded comment; however, any edits to it will get removed if the file is opened in a newer version of Excel. Learn more: https://go.microsoft.com/fwlink/?linkid=870924
Comment:
	@content.creatorerni@gmail.com @fhernandez.kromimarket@gmail.com realizado el 16 de julio, en espera de aprobacion
Asignado a content.creatorerni@gmail.com
Reply:
	salutación ya aprobada 17 de julio
</t>
      </text>
    </comment>
    <comment authorId="28" xr:uid="{20d8a0a7-0a66-4438-b435-97c5318b3ba4}" ref="I26">
      <text>
        <t xml:space="preserve">[Threaded comment]
 Your version of Excel allows you to read this threaded comment; however, any edits to it will get removed if the file is opened in a newer version of Excel. Learn more: https://go.microsoft.com/fwlink/?linkid=870924
Comment:
	aprobado!
</t>
      </text>
    </comment>
    <comment authorId="29" xr:uid="{230d4c19-ebe1-4d25-b9b4-5d2b1971d89e}" ref="I11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30" xr:uid="{239b06f5-81a0-4855-bc33-a3b2811308fd}" ref="I38">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31" xr:uid="{241e40be-e2fb-4fd4-8693-d161b62f4da5}" ref="I79">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32" xr:uid="{25b37d83-4d0a-4c72-8168-227608d2a109}" ref="I2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33" xr:uid="{26275dfe-47da-4fa2-8d07-c629f27ee421}" ref="I10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34" xr:uid="{27e87178-3208-40bb-89b2-b96b0e4648c5}" ref="I88">
      <text>
        <t xml:space="preserve">[Threaded comment]
 Your version of Excel allows you to read this threaded comment; however, any edits to it will get removed if the file is opened in a newer version of Excel. Learn more: https://go.microsoft.com/fwlink/?linkid=870924
Comment:
	POR APROBAR
Reply:
	LISTO
Reply:
	@content.creatorerni@gmail.com
</t>
      </text>
    </comment>
    <comment authorId="35" xr:uid="{29fe16bd-6df0-4222-98f9-ad80cdf9d12e}" ref="I7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36" xr:uid="{29ffed2a-ac69-480f-aa94-fc9f188dd0f9}" ref="I205">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37" xr:uid="{2a0ed73f-0ca3-4b5b-822b-f3c6cc42a476}" ref="I35">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38" xr:uid="{2c5531ec-a2dd-4386-9734-02473f641d85}" ref="I4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39" xr:uid="{2e96aeb2-568f-428e-987c-298a8a823ed6}" ref="J168">
      <text>
        <t xml:space="preserve">[Threaded comment]
 Your version of Excel allows you to read this threaded comment; however, any edits to it will get removed if the file is opened in a newer version of Excel. Learn more: https://go.microsoft.com/fwlink/?linkid=870924
Comment:
	LISTOOO
</t>
      </text>
    </comment>
    <comment authorId="40" xr:uid="{2fabb2c2-97be-42c4-b13c-0879d97e37dc}" ref="I5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41" xr:uid="{31300c35-376b-49df-baf6-9bb9f8074444}" ref="I133">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42" xr:uid="{32ae2bf4-9b47-4511-a754-708f38536980}" ref="I11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43" xr:uid="{32b78d9b-e0c8-4397-b440-56a1496712a9}" ref="I7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44" xr:uid="{376af125-be03-41c2-be8d-a5b4279e5526}" ref="B116">
      <text>
        <t xml:space="preserve">[Threaded comment]
 Your version of Excel allows you to read this threaded comment; however, any edits to it will get removed if the file is opened in a newer version of Excel. Learn more: https://go.microsoft.com/fwlink/?linkid=870924
Comment:
	Cambiar al 16
</t>
      </text>
    </comment>
    <comment authorId="45" xr:uid="{38a3590b-e102-414a-88f8-b393d7d0f202}" ref="I9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46" xr:uid="{3d51b74a-442b-4af1-909b-5b129007be09}" ref="I202">
      <text>
        <t xml:space="preserve">[Threaded comment]
 Your version of Excel allows you to read this threaded comment; however, any edits to it will get removed if the file is opened in a newer version of Excel. Learn more: https://go.microsoft.com/fwlink/?linkid=870924
Comment:
	POR APROBAR
Reply:
	LISTO
</t>
      </text>
    </comment>
    <comment authorId="47" xr:uid="{3ed341f0-5c37-4218-8346-89258574d6ed}" ref="F225">
      <text>
        <t xml:space="preserve">[Threaded comment]
 Your version of Excel allows you to read this threaded comment; however, any edits to it will get removed if the file is opened in a newer version of Excel. Learn more: https://go.microsoft.com/fwlink/?linkid=870924
Comment:
	reedirecionar a johanna
</t>
      </text>
    </comment>
    <comment authorId="48" xr:uid="{4059c052-f872-4938-90d0-80382546d48c}" ref="I6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49" xr:uid="{44f5980d-db7b-48f6-8761-4d02392262d2}" ref="F222">
      <text>
        <t xml:space="preserve">[Threaded comment]
 Your version of Excel allows you to read this threaded comment; however, any edits to it will get removed if the file is opened in a newer version of Excel. Learn more: https://go.microsoft.com/fwlink/?linkid=870924
Comment:
	reedirecionar a johanna
</t>
      </text>
    </comment>
    <comment authorId="50" xr:uid="{45000acc-3471-48d5-8661-24af641b4e43}" ref="I87">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51" xr:uid="{47422047-05f0-4b90-bbd9-ea9f1f7dc1e8}" ref="I10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52" xr:uid="{47cb9183-9508-4faa-9d09-f4ca5e1dc2b1}" ref="D238">
      <text>
        <t xml:space="preserve">[Threaded comment]
 Your version of Excel allows you to read this threaded comment; however, any edits to it will get removed if the file is opened in a newer version of Excel. Learn more: https://go.microsoft.com/fwlink/?linkid=870924
Comment:
	https://trello.com/c/QNjGtf6x
</t>
      </text>
    </comment>
    <comment authorId="53" xr:uid="{4a4a98f7-5526-4b58-b1be-355dd73fc96c}" ref="J3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54" xr:uid="{4b7ac84e-6f3b-4432-b0b0-2d0d7bb45c79}" ref="I125">
      <text>
        <t xml:space="preserve">[Threaded comment]
 Your version of Excel allows you to read this threaded comment; however, any edits to it will get removed if the file is opened in a newer version of Excel. Learn more: https://go.microsoft.com/fwlink/?linkid=870924
Comment:
	LISTOO
</t>
      </text>
    </comment>
    <comment authorId="55" xr:uid="{4bc31252-798f-4483-a35e-a76906f48503}" ref="I9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56" xr:uid="{4dccf138-318f-458f-95e7-1cec11cb43c0}" ref="F220">
      <text>
        <t xml:space="preserve">[Threaded comment]
 Your version of Excel allows you to read this threaded comment; however, any edits to it will get removed if the file is opened in a newer version of Excel. Learn more: https://go.microsoft.com/fwlink/?linkid=870924
Comment:
	reedirecionar a johana
</t>
      </text>
    </comment>
    <comment authorId="57" xr:uid="{4eb43cab-ca95-4698-84cc-e81764de8c55}" ref="I5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58" xr:uid="{4ed38bf9-eae7-42a3-bc50-3817f108fc35}" ref="D55">
      <text>
        <t xml:space="preserve">[Threaded comment]
 Your version of Excel allows you to read this threaded comment; however, any edits to it will get removed if the file is opened in a newer version of Excel. Learn more: https://go.microsoft.com/fwlink/?linkid=870924
Comment:
	fernando la fecha de actividad de reprogramo para el viernes 25
</t>
      </text>
    </comment>
    <comment authorId="59" xr:uid="{4ee6b70c-d608-4295-8561-81f270a2e298}" ref="I3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60" xr:uid="{4f3d6341-e38f-4983-b1a5-eb0d27205e56}" ref="I30">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61" xr:uid="{51548844-c779-43be-b87d-b425608fd05a}" ref="I34">
      <text>
        <t xml:space="preserve">[Threaded comment]
 Your version of Excel allows you to read this threaded comment; however, any edits to it will get removed if the file is opened in a newer version of Excel. Learn more: https://go.microsoft.com/fwlink/?linkid=870924
Comment:
	LISTO
Reply:
	LISTO
</t>
      </text>
    </comment>
    <comment authorId="62" xr:uid="{5199b2d5-11c4-42fe-9fed-2132824d8d23}" ref="I52">
      <text>
        <t xml:space="preserve">[Threaded comment]
 Your version of Excel allows you to read this threaded comment; however, any edits to it will get removed if the file is opened in a newer version of Excel. Learn more: https://go.microsoft.com/fwlink/?linkid=870924
Comment:
	LISTO
Reply:
	LISTO
</t>
      </text>
    </comment>
    <comment authorId="63" xr:uid="{51a1e366-be00-4433-9734-de85bdd3c4f7}" ref="I78">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64" xr:uid="{53871025-18c7-4037-ba93-825c48daafb3}" ref="I33">
      <text>
        <t xml:space="preserve">[Threaded comment]
 Your version of Excel allows you to read this threaded comment; however, any edits to it will get removed if the file is opened in a newer version of Excel. Learn more: https://go.microsoft.com/fwlink/?linkid=870924
Comment:
	LISTO
Reply:
	LISTOOOO
</t>
      </text>
    </comment>
    <comment authorId="65" xr:uid="{53f9b0cd-536f-474a-9d4f-6167aed9c9b9}" ref="I217">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66" xr:uid="{54448340-0c7c-45cb-bd97-ed5b3bad4db9}" ref="I23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67" xr:uid="{55d97304-7441-4e68-99cb-ab68cc9a67ae}" ref="I5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68" xr:uid="{57e5bd4f-0a39-4d8b-aa9b-28f14013a3bd}" ref="I25">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69" xr:uid="{57fcf5e7-88c9-498a-ba5a-37758298966a}" ref="I7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70" xr:uid="{584ea670-9425-420e-93e6-0bace5fd7192}" ref="I67">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71" xr:uid="{5855900f-26c6-4eb9-bc04-887e8fe5342a}" ref="I6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72" xr:uid="{591fa238-ae0b-4253-8b5b-72761652a04a}" ref="I41">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73" xr:uid="{5ba0ba68-1d31-4b00-9c7d-3d8b209017c3}" ref="I6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74" xr:uid="{5cee4af0-4209-4b9d-a8e0-9333fae06a5a}" ref="I12">
      <text>
        <t xml:space="preserve">[Threaded comment]
 Your version of Excel allows you to read this threaded comment; however, any edits to it will get removed if the file is opened in a newer version of Excel. Learn more: https://go.microsoft.com/fwlink/?linkid=870924
Comment:
	@content.creatorerni@gmail.com EN PROCESO
Asignado a content.creatorerni@gmail.com
</t>
      </text>
    </comment>
    <comment authorId="75" xr:uid="{5f0cf36b-96dc-4e27-b12e-6474a0fa49b9}" ref="F115">
      <text>
        <t xml:space="preserve">[Threaded comment]
 Your version of Excel allows you to read this threaded comment; however, any edits to it will get removed if the file is opened in a newer version of Excel. Learn more: https://go.microsoft.com/fwlink/?linkid=870924
Comment:
	reedirecionar a johanna
</t>
      </text>
    </comment>
    <comment authorId="76" xr:uid="{5fb3cad6-212c-4ff1-8575-7a090b7909e8}" ref="I55">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77" xr:uid="{63b1e89b-71e7-41bb-b96e-098496089e32}" ref="I125">
      <text>
        <t xml:space="preserve">[Threaded comment]
 Your version of Excel allows you to read this threaded comment; however, any edits to it will get removed if the file is opened in a newer version of Excel. Learn more: https://go.microsoft.com/fwlink/?linkid=870924
Comment:
	POR APROBACION
</t>
      </text>
    </comment>
    <comment authorId="78" xr:uid="{63c75632-66fa-4a1f-bfcf-c5945b40871f}" ref="I108">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79" xr:uid="{6424eb95-7d6d-4d62-81f5-11d2a71166bf}" ref="I10">
      <text>
        <t xml:space="preserve">[Threaded comment]
 Your version of Excel allows you to read this threaded comment; however, any edits to it will get removed if the file is opened in a newer version of Excel. Learn more: https://go.microsoft.com/fwlink/?linkid=870924
Comment:
	TA LISTO VPY A PUNBLICAR @content.creatorerni@gmail.com
Asignado a content.creatorerni@gmail.com
</t>
      </text>
    </comment>
    <comment authorId="80" xr:uid="{643a2da5-6656-45f3-91e0-fb2a8d6e4247}" ref="I13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81" xr:uid="{67313b9e-0553-4f6d-9b39-fe3221b3b076}" ref="I20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82" xr:uid="{68202f34-51b7-4ad4-ac6e-b496707dafbf}" ref="E74">
      <text>
        <t xml:space="preserve">[Threaded comment]
 Your version of Excel allows you to read this threaded comment; however, any edits to it will get removed if the file is opened in a newer version of Excel. Learn more: https://go.microsoft.com/fwlink/?linkid=870924
Comment:
	@content.creatorerni@gmail.com QUITAR LA PARTE DE RRSS POST
Asignado a content.creatorerni@gmail.com
</t>
      </text>
    </comment>
    <comment authorId="83" xr:uid="{6a117da9-4260-42e8-910c-ec37410cc73b}" ref="I17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84" xr:uid="{6ab0aa61-5ffe-425c-8af2-48848fa7111d}" ref="J2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85" xr:uid="{6b5509a1-c7f0-406f-8d16-30af7d44598f}" ref="C145">
      <text>
        <t xml:space="preserve">[Threaded comment]
 Your version of Excel allows you to read this threaded comment; however, any edits to it will get removed if the file is opened in a newer version of Excel. Learn more: https://go.microsoft.com/fwlink/?linkid=870924
Comment:
	entiendo la foto que tenían se cambia porque esta con la camiseta de Argentina, asumo que hay que replantear, Ernesto, ellos tienen una gama de productos, podrás sacarla completa sin ser carrusel, o sacar los 3 sabores de estos. Sin carrusel, algo sencillo
</t>
      </text>
    </comment>
    <comment authorId="86" xr:uid="{6bd2c988-aa82-4e29-b9c8-abf2e2a8bd0e}" ref="C146">
      <text>
        <t xml:space="preserve">[Threaded comment]
 Your version of Excel allows you to read this threaded comment; however, any edits to it will get removed if the file is opened in a newer version of Excel. Learn more: https://go.microsoft.com/fwlink/?linkid=870924
Comment:
	En el correo que les envié  la semana pasada, esta un detalle y no tiene que ver con esto, esto va a las rrss y farmacia lo puede hacer en colaboración con kromi
</t>
      </text>
    </comment>
    <comment authorId="87" xr:uid="{6db4a611-571b-4c59-9813-775bb258942b}" ref="I8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88" xr:uid="{6dcef4b4-fbf8-44ab-ad92-5e056dc01bce}" ref="J169">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89" xr:uid="{6dee1859-53e0-45f2-8f37-809fae4fac6b}" ref="D240">
      <text>
        <t xml:space="preserve">[Threaded comment]
 Your version of Excel allows you to read this threaded comment; however, any edits to it will get removed if the file is opened in a newer version of Excel. Learn more: https://go.microsoft.com/fwlink/?linkid=870924
Comment:
	https://trello.com/c/8ZdKKGye
</t>
      </text>
    </comment>
    <comment authorId="90" xr:uid="{6e3d0661-7e12-487d-b021-057fb4a38207}" ref="I180">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91" xr:uid="{6e69f6b8-faad-47f6-b895-543bfc2746af}" ref="I27">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92" xr:uid="{72166310-eee7-4ce5-ba62-840a031e24b2}" ref="I10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93" xr:uid="{7224c795-5c47-40e9-af3a-de3e05224878}" ref="I44">
      <text>
        <t xml:space="preserve">[Threaded comment]
 Your version of Excel allows you to read this threaded comment; however, any edits to it will get removed if the file is opened in a newer version of Excel. Learn more: https://go.microsoft.com/fwlink/?linkid=870924
Comment:
	LISTOS
</t>
      </text>
    </comment>
    <comment authorId="94" xr:uid="{72b707c1-a0c0-444c-b7e7-420a294e12d2}" ref="I65">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95" xr:uid="{734b12d5-eb04-4995-94d0-1ea117abe2bb}" ref="I211">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96" xr:uid="{745f9371-fd03-4dd3-8c35-14e97294f880}" ref="I221">
      <text>
        <t xml:space="preserve">[Threaded comment]
 Your version of Excel allows you to read this threaded comment; however, any edits to it will get removed if the file is opened in a newer version of Excel. Learn more: https://go.microsoft.com/fwlink/?linkid=870924
Comment:
	por aprobar @content.creatorerni@gmail.com
Asignado a content.creatorerni@gmail.com
</t>
      </text>
    </comment>
    <comment authorId="97" xr:uid="{75e089f1-cf7d-4dda-928a-2271302198eb}" ref="I3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98" xr:uid="{77952cba-2aa1-4906-91ce-3e2795a65cfc}" ref="I11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99" xr:uid="{77d51c10-fca9-4ccd-a5f0-773cf1875e03}" ref="I62">
      <text>
        <t xml:space="preserve">[Threaded comment]
 Your version of Excel allows you to read this threaded comment; however, any edits to it will get removed if the file is opened in a newer version of Excel. Learn more: https://go.microsoft.com/fwlink/?linkid=870924
Comment:
	listo
Reply:
	LISTO
</t>
      </text>
    </comment>
    <comment authorId="100" xr:uid="{78063afe-1d9b-4242-a0e1-4ff8954d27f9}" ref="I164">
      <text>
        <t xml:space="preserve">[Threaded comment]
 Your version of Excel allows you to read this threaded comment; however, any edits to it will get removed if the file is opened in a newer version of Excel. Learn more: https://go.microsoft.com/fwlink/?linkid=870924
Comment:
	Falta por agregar los patrocinantes confirmados para el viernes 31 de agosto
</t>
      </text>
    </comment>
    <comment authorId="101" xr:uid="{7a75ab88-d9c9-4aab-a26f-3a4798a28ea3}" ref="D139">
      <text>
        <t xml:space="preserve">[Threaded comment]
 Your version of Excel allows you to read this threaded comment; however, any edits to it will get removed if the file is opened in a newer version of Excel. Learn more: https://go.microsoft.com/fwlink/?linkid=870924
Comment:
	https://trello.com/c/cj6TNAXm
</t>
      </text>
    </comment>
    <comment authorId="102" xr:uid="{7b8b7adc-e418-4444-948b-447accec3785}" ref="I152">
      <text>
        <t xml:space="preserve">[Threaded comment]
 Your version of Excel allows you to read this threaded comment; however, any edits to it will get removed if the file is opened in a newer version of Excel. Learn more: https://go.microsoft.com/fwlink/?linkid=870924
Comment:
	Demora en la organización de los clips para el video.
</t>
      </text>
    </comment>
    <comment authorId="103" xr:uid="{7c5dda55-9004-4c55-95d5-35f724a959b8}" ref="I42">
      <text>
        <t xml:space="preserve">[Threaded comment]
 Your version of Excel allows you to read this threaded comment; however, any edits to it will get removed if the file is opened in a newer version of Excel. Learn more: https://go.microsoft.com/fwlink/?linkid=870924
Comment:
	LISTOOO
</t>
      </text>
    </comment>
    <comment authorId="104" xr:uid="{7d969e95-56b6-4dd6-b920-f056e1e89d65}" ref="I6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05" xr:uid="{7ddab1fd-fc37-476b-b020-b42a83f31f55}" ref="I7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06" xr:uid="{7ec35b84-e8d6-4817-8836-5c2643bb0170}" ref="C269">
      <text>
        <t xml:space="preserve">[Threaded comment]
 Your version of Excel allows you to read this threaded comment; however, any edits to it will get removed if the file is opened in a newer version of Excel. Learn more: https://go.microsoft.com/fwlink/?linkid=870924
Comment:
	parches de lonas
</t>
      </text>
    </comment>
    <comment authorId="107" xr:uid="{80330d30-4e1b-4812-93a2-e83c08983928}" ref="I5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08" xr:uid="{81be1850-df73-4d4c-954e-66da669447f2}" ref="I264">
      <text>
        <t xml:space="preserve">[Threaded comment]
 Your version of Excel allows you to read this threaded comment; however, any edits to it will get removed if the file is opened in a newer version of Excel. Learn more: https://go.microsoft.com/fwlink/?linkid=870924
Comment:
	lusto
</t>
      </text>
    </comment>
    <comment authorId="109" xr:uid="{8388b8c9-6a2b-4a69-9aaf-4b096ccb9eb7}" ref="I47">
      <text>
        <t xml:space="preserve">[Threaded comment]
 Your version of Excel allows you to read this threaded comment; however, any edits to it will get removed if the file is opened in a newer version of Excel. Learn more: https://go.microsoft.com/fwlink/?linkid=870924
Comment:
	listo
Reply:
	@content.creatorerni@gmail.com LISTO
</t>
      </text>
    </comment>
    <comment authorId="110" xr:uid="{83897b33-7824-439b-89c7-48d8dc54eed4}" ref="I13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11" xr:uid="{854590a6-9da0-492a-8cd8-11e1805238e6}" ref="I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12" xr:uid="{859b7d82-ed8d-4af7-9255-b08c0016f3f0}" ref="I185">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13" xr:uid="{85c19eb5-c622-400c-bcee-f7c954631b3f}" ref="I5">
      <text>
        <t xml:space="preserve">[Threaded comment]
 Your version of Excel allows you to read this threaded comment; however, any edits to it will get removed if the file is opened in a newer version of Excel. Learn more: https://go.microsoft.com/fwlink/?linkid=870924
Comment:
	hay correciones pendientes por Ale
Reply:
	LISTO
</t>
      </text>
    </comment>
    <comment authorId="114" xr:uid="{85f06efe-be97-4f71-86e1-aff367bb7e6f}" ref="I227">
      <text>
        <t xml:space="preserve">[Threaded comment]
 Your version of Excel allows you to read this threaded comment; however, any edits to it will get removed if the file is opened in a newer version of Excel. Learn more: https://go.microsoft.com/fwlink/?linkid=870924
Comment:
	EN CURSO
</t>
      </text>
    </comment>
    <comment authorId="115" xr:uid="{86319c59-32d2-43af-98f5-73dae9d3b203}" ref="I22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16" xr:uid="{8aef0400-8ee2-44a8-8553-7c9faa3bd328}" ref="I5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17" xr:uid="{8f12b0e7-c821-438e-8759-1c11d06eb146}" ref="I137">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18" xr:uid="{8f62246f-b9cc-42a3-ad0e-7bbbc7f72f2f}" ref="I50">
      <text>
        <t xml:space="preserve">[Threaded comment]
 Your version of Excel allows you to read this threaded comment; however, any edits to it will get removed if the file is opened in a newer version of Excel. Learn more: https://go.microsoft.com/fwlink/?linkid=870924
Comment:
	listo
Reply:
	LISTO
</t>
      </text>
    </comment>
    <comment authorId="119" xr:uid="{90fafd8c-519c-42f9-b7b1-329d30749eb7}" ref="I66">
      <text>
        <t xml:space="preserve">[Threaded comment]
 Your version of Excel allows you to read this threaded comment; however, any edits to it will get removed if the file is opened in a newer version of Excel. Learn more: https://go.microsoft.com/fwlink/?linkid=870924
Comment:
	CANCELAR
</t>
      </text>
    </comment>
    <comment authorId="120" xr:uid="{916e7f5d-6fe7-419f-a194-5ebc48eda636}" ref="I99">
      <text>
        <t xml:space="preserve">[Threaded comment]
 Your version of Excel allows you to read this threaded comment; however, any edits to it will get removed if the file is opened in a newer version of Excel. Learn more: https://go.microsoft.com/fwlink/?linkid=870924
Comment:
	@content.creatorerni@gmail.com LISTO
Asignado a content.creatorerni@gmail.com
</t>
      </text>
    </comment>
    <comment authorId="121" xr:uid="{95368918-ed32-471e-b5e8-a425a4c6cd47}" ref="I6">
      <text>
        <t xml:space="preserve">[Threaded comment]
 Your version of Excel allows you to read this threaded comment; however, any edits to it will get removed if the file is opened in a newer version of Excel. Learn more: https://go.microsoft.com/fwlink/?linkid=870924
Comment:
	Problemas con el formato de la foto
</t>
      </text>
    </comment>
    <comment authorId="122" xr:uid="{99f27365-0c67-44ae-9df0-009bd5fc4d7c}" ref="I14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23" xr:uid="{9ab0adfb-3c6e-400f-af17-5bba94b819e3}" ref="I17">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24" xr:uid="{9c708bf3-ec03-4047-9b31-c9deacf16ca7}" ref="I129">
      <text>
        <t xml:space="preserve">[Threaded comment]
 Your version of Excel allows you to read this threaded comment; however, any edits to it will get removed if the file is opened in a newer version of Excel. Learn more: https://go.microsoft.com/fwlink/?linkid=870924
Comment:
	listo
Reply:
	LISTO
</t>
      </text>
    </comment>
    <comment authorId="125" xr:uid="{9e6b1961-70a7-40e3-88a7-a6e65c7f2c80}" ref="I180">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26" xr:uid="{9f4cb232-c3e2-4e48-b5c5-3f6613c3373b}" ref="C5">
      <text>
        <t xml:space="preserve">[Threaded comment]
 Your version of Excel allows you to read this threaded comment; however, any edits to it will get removed if the file is opened in a newer version of Excel. Learn more: https://go.microsoft.com/fwlink/?linkid=870924
Comment:
	En este, agreguen en el copy varios números gratuitos que hay actualmente como servicio a la comunidad
</t>
      </text>
    </comment>
    <comment authorId="127" xr:uid="{9fbf3629-ba4e-494d-81ef-6f52ec97ab49}" ref="I37">
      <text>
        <t xml:space="preserve">[Threaded comment]
 Your version of Excel allows you to read this threaded comment; however, any edits to it will get removed if the file is opened in a newer version of Excel. Learn more: https://go.microsoft.com/fwlink/?linkid=870924
Comment:
	listo
Reply:
	FALTA AGREGAR RIF Y LISTO
</t>
      </text>
    </comment>
    <comment authorId="128" xr:uid="{a32b7ac0-4d6c-44e2-9b51-a1b0b3bb5df1}" ref="I40">
      <text>
        <t xml:space="preserve">[Threaded comment]
 Your version of Excel allows you to read this threaded comment; however, any edits to it will get removed if the file is opened in a newer version of Excel. Learn more: https://go.microsoft.com/fwlink/?linkid=870924
Comment:
	LISTO
Reply:
	LISTOOOOOO @content.creatorerni@gmail.com
</t>
      </text>
    </comment>
    <comment authorId="129" xr:uid="{a3ad4dd4-5495-4e60-b7a8-0a5f772fde75}" ref="I217">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30" xr:uid="{a5437831-75b3-4617-8df4-7f27de14d7e2}" ref="I133">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31" xr:uid="{a5b160dd-ab0a-4a39-9791-e3897aa09aaf}" ref="A221">
      <text>
        <t xml:space="preserve">[Threaded comment]
 Your version of Excel allows you to read this threaded comment; however, any edits to it will get removed if the file is opened in a newer version of Excel. Learn more: https://go.microsoft.com/fwlink/?linkid=870924
Comment:
	Cambiar fecha a 8/10
</t>
      </text>
    </comment>
    <comment authorId="132" xr:uid="{a7ae15eb-4ea3-4872-8a58-1cb269f36f5e}" ref="I215">
      <text>
        <t xml:space="preserve">[Threaded comment]
 Your version of Excel allows you to read this threaded comment; however, any edits to it will get removed if the file is opened in a newer version of Excel. Learn more: https://go.microsoft.com/fwlink/?linkid=870924
Comment:
	CANCELAR SOLICITUD
</t>
      </text>
    </comment>
    <comment authorId="133" xr:uid="{a8d9bf7c-e0d1-40e7-bd7c-26b7ee5ed368}" ref="I1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34" xr:uid="{abb4853c-405e-42cd-8ee0-169031cad36a}" ref="I160">
      <text>
        <t xml:space="preserve">[Threaded comment]
 Your version of Excel allows you to read this threaded comment; however, any edits to it will get removed if the file is opened in a newer version of Excel. Learn more: https://go.microsoft.com/fwlink/?linkid=870924
Comment:
	En espera por definición de línea gráfica Mini Chef 8va edición
</t>
      </text>
    </comment>
    <comment authorId="135" xr:uid="{ac9476a6-8109-421c-bb94-939d83b70969}" ref="I115">
      <text>
        <t xml:space="preserve">[Threaded comment]
 Your version of Excel allows you to read this threaded comment; however, any edits to it will get removed if the file is opened in a newer version of Excel. Learn more: https://go.microsoft.com/fwlink/?linkid=870924
Comment:
	POR APROBAR
Reply:
	LISTO
</t>
      </text>
    </comment>
    <comment authorId="136" xr:uid="{ae7691d7-336d-4490-885d-188b02a5a6b3}" ref="I18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37" xr:uid="{aea18ac2-f3be-4f50-ad9e-c72a4b2b95de}" ref="I60">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38" xr:uid="{afb9b9b6-c052-433f-8e39-ea149afe6952}" ref="I75">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39" xr:uid="{b0bc6402-39dd-42a2-b7a6-c9d1b707038a}" ref="B227">
      <text>
        <t xml:space="preserve">[Threaded comment]
 Your version of Excel allows you to read this threaded comment; however, any edits to it will get removed if the file is opened in a newer version of Excel. Learn more: https://go.microsoft.com/fwlink/?linkid=870924
Comment:
	cambiar al 16
@content.creatorerni@gmail.com
Asignado a content.creatorerni@gmail.com
</t>
      </text>
    </comment>
    <comment authorId="140" xr:uid="{b209f9c5-cff5-4346-8e63-e3e0733d7cd2}" ref="K99">
      <text>
        <t xml:space="preserve">[Threaded comment]
 Your version of Excel allows you to read this threaded comment; however, any edits to it will get removed if the file is opened in a newer version of Excel. Learn more: https://go.microsoft.com/fwlink/?linkid=870924
Comment:
	cambiar a farmacia
</t>
      </text>
    </comment>
    <comment authorId="141" xr:uid="{b34e9c5a-cc35-4711-bc66-1e03d64795db}" ref="I57">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42" xr:uid="{b577985d-497a-46d8-8157-78a29a4cd8ae}" ref="I63">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43" xr:uid="{b6df5768-9219-41e6-a2fb-d0aa61344c63}" ref="J3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44" xr:uid="{b91d433b-ca40-4b1b-b755-5ecc13fa3319}" ref="I58">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45" xr:uid="{b9e8b265-2c87-42d6-a4ad-dd52b1427f05}" ref="I138">
      <text>
        <t xml:space="preserve">[Threaded comment]
 Your version of Excel allows you to read this threaded comment; however, any edits to it will get removed if the file is opened in a newer version of Excel. Learn more: https://go.microsoft.com/fwlink/?linkid=870924
Comment:
	POR APROBRAR
</t>
      </text>
    </comment>
    <comment authorId="146" xr:uid="{ba48c31c-180c-47cc-87fc-2b9b9716dd3e}" ref="I13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47" xr:uid="{bbb11502-0426-4575-97cb-bf8f6fcddf0e}" ref="H151">
      <text>
        <t xml:space="preserve">[Threaded comment]
 Your version of Excel allows you to read this threaded comment; however, any edits to it will get removed if the file is opened in a newer version of Excel. Learn more: https://go.microsoft.com/fwlink/?linkid=870924
Comment:
	@jhernandez1.kromimarket@gmail.com por favor  cambia el status a cancelado
Asignado a jhernandez1.kromimarket@gmail.com
</t>
      </text>
    </comment>
    <comment authorId="148" xr:uid="{bcfa1adc-339e-4d14-abda-42f5adc5e1f8}" ref="I244">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49" xr:uid="{bf38f808-3762-4709-b5c0-c4812942fb5d}" ref="I11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50" xr:uid="{c0b3c0aa-f534-4bbd-8aec-fb41f38d5ae7}" ref="I11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51" xr:uid="{c18dd2c2-0afb-4f31-b888-858b9799478a}" ref="J9">
      <text>
        <t xml:space="preserve">[Threaded comment]
 Your version of Excel allows you to read this threaded comment; however, any edits to it will get removed if the file is opened in a newer version of Excel. Learn more: https://go.microsoft.com/fwlink/?linkid=870924
Comment:
	@content.creatorerni@gmail.com @fhernandez.kromimarket@gmail.com  en espera de aprobación por david
Asignado a content.creatorerni@gmail.com
</t>
      </text>
    </comment>
    <comment authorId="152" xr:uid="{c236e548-42d9-4f8d-9794-4206cff9a708}" ref="I12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53" xr:uid="{c262ddb8-b92c-4d7e-9a85-45c88da01149}" ref="I258">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54" xr:uid="{c3114de9-fc3b-4868-bf0e-162285373c6c}" ref="I168">
      <text>
        <t xml:space="preserve">[Threaded comment]
 Your version of Excel allows you to read this threaded comment; however, any edits to it will get removed if the file is opened in a newer version of Excel. Learn more: https://go.microsoft.com/fwlink/?linkid=870924
Comment:
	aprobado!
</t>
      </text>
    </comment>
    <comment authorId="155" xr:uid="{c360ec8b-9435-4972-b441-437825816c66}" ref="J149">
      <text>
        <t xml:space="preserve">[Threaded comment]
 Your version of Excel allows you to read this threaded comment; however, any edits to it will get removed if the file is opened in a newer version of Excel. Learn more: https://go.microsoft.com/fwlink/?linkid=870924
Comment:
	Fue terminado y aprobado el día lunes 13 de julio
</t>
      </text>
    </comment>
    <comment authorId="156" xr:uid="{c83efafa-b6d0-4fc2-866c-2359f7791f81}" ref="I73">
      <text>
        <t xml:space="preserve">[Threaded comment]
 Your version of Excel allows you to read this threaded comment; however, any edits to it will get removed if the file is opened in a newer version of Excel. Learn more: https://go.microsoft.com/fwlink/?linkid=870924
Comment:
	CANCELADO
</t>
      </text>
    </comment>
    <comment authorId="157" xr:uid="{c8a4a347-3ef9-4186-89d2-48d160086286}" ref="I13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58" xr:uid="{c96c080e-1b91-40b6-a859-6007a86ec7a9}" ref="I67">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59" xr:uid="{c9f5ef61-5c44-4d5d-9f8b-fce6d1b4091a}" ref="F221">
      <text>
        <t xml:space="preserve">[Threaded comment]
 Your version of Excel allows you to read this threaded comment; however, any edits to it will get removed if the file is opened in a newer version of Excel. Learn more: https://go.microsoft.com/fwlink/?linkid=870924
Comment:
	reedirecionar a johana
</t>
      </text>
    </comment>
    <comment authorId="160" xr:uid="{ca34e0c7-217e-4c79-8f9e-fca2324bc5c1}" ref="I241">
      <text>
        <t xml:space="preserve">[Threaded comment]
 Your version of Excel allows you to read this threaded comment; however, any edits to it will get removed if the file is opened in a newer version of Excel. Learn more: https://go.microsoft.com/fwlink/?linkid=870924
Comment:
	por aprobar
Reply:
	listooo
</t>
      </text>
    </comment>
    <comment authorId="161" xr:uid="{cfa8d182-b29c-4a82-992b-dc87f71d9773}" ref="I26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62" xr:uid="{d0e542d3-909a-427c-b577-e5ed2f0d5e07}" ref="I101">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63" xr:uid="{d3fa75fd-8214-43d4-a4f7-298228a0a94c}" ref="J169">
      <text>
        <t xml:space="preserve">[Threaded comment]
 Your version of Excel allows you to read this threaded comment; however, any edits to it will get removed if the file is opened in a newer version of Excel. Learn more: https://go.microsoft.com/fwlink/?linkid=870924
Comment:
	LISTOOO
</t>
      </text>
    </comment>
    <comment authorId="164" xr:uid="{d48ab26f-4014-49a9-9d8e-4a6728c9fbc3}" ref="A220">
      <text>
        <t xml:space="preserve">[Threaded comment]
 Your version of Excel allows you to read this threaded comment; however, any edits to it will get removed if the file is opened in a newer version of Excel. Learn more: https://go.microsoft.com/fwlink/?linkid=870924
Comment:
	Cambiar fecha a 8/10
</t>
      </text>
    </comment>
    <comment authorId="165" xr:uid="{d6c05b7d-ded3-43e9-acd8-6ea324af8ffd}" ref="I20">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66" xr:uid="{d72467e6-4c0e-4332-afab-afca5dfc3e22}" ref="I140">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67" xr:uid="{dafa94f3-2e21-43f1-b739-e07746360e87}" ref="I2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68" xr:uid="{db00e084-0b17-4c50-9339-b279ae13fa88}" ref="I13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69" xr:uid="{db7621df-b1f0-4a18-bed8-c4a4d16e40f6}" ref="D14">
      <text>
        <t xml:space="preserve">[Threaded comment]
 Your version of Excel allows you to read this threaded comment; however, any edits to it will get removed if the file is opened in a newer version of Excel. Learn more: https://go.microsoft.com/fwlink/?linkid=870924
Comment:
	Marcar como observación de proceso en eventos.
Reply:
	@jhernandez1.kromimarket@gmail.com No marques este comentario como resuelto por favor.
</t>
      </text>
    </comment>
    <comment authorId="170" xr:uid="{dba301b0-655d-45b4-9a2c-d4e8067f49ef}" ref="I117">
      <text>
        <t xml:space="preserve">[Threaded comment]
 Your version of Excel allows you to read this threaded comment; however, any edits to it will get removed if the file is opened in a newer version of Excel. Learn more: https://go.microsoft.com/fwlink/?linkid=870924
Comment:
	listo
Reply:
	POR APROBAR
</t>
      </text>
    </comment>
    <comment authorId="171" xr:uid="{dc2cdd7e-ed53-4178-aa98-3b724a35ceaa}" ref="I24">
      <text>
        <t xml:space="preserve">[Threaded comment]
 Your version of Excel allows you to read this threaded comment; however, any edits to it will get removed if the file is opened in a newer version of Excel. Learn more: https://go.microsoft.com/fwlink/?linkid=870924
Comment:
	Falta por agregar los patrocinantes confirmados para el viernes 31 de agosto
</t>
      </text>
    </comment>
    <comment authorId="172" xr:uid="{e0e70153-3d97-4e18-9b4f-56f38598a2da}" ref="I11">
      <text>
        <t xml:space="preserve">[Threaded comment]
 Your version of Excel allows you to read this threaded comment; however, any edits to it will get removed if the file is opened in a newer version of Excel. Learn more: https://go.microsoft.com/fwlink/?linkid=870924
Comment:
	listo
Reply:
	Por aprobar
</t>
      </text>
    </comment>
    <comment authorId="173" xr:uid="{e6c2fd2e-d8da-404c-ab9e-25e653810adb}" ref="I204">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74" xr:uid="{e7cad992-0225-46ee-98e0-301d50b74b2d}" ref="I1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75" xr:uid="{e8877a77-65e7-4e6e-9e65-31b1e7380597}" ref="I8">
      <text>
        <t xml:space="preserve">[Threaded comment]
 Your version of Excel allows you to read this threaded comment; however, any edits to it will get removed if the file is opened in a newer version of Excel. Learn more: https://go.microsoft.com/fwlink/?linkid=870924
Comment:
	listo desde el 17-6
</t>
      </text>
    </comment>
    <comment authorId="176" xr:uid="{e89e31b8-20ff-408d-ba12-d9fe1263ecfd}" ref="I135">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77" xr:uid="{e8e3cade-68d5-4e95-bb46-38368c073dcc}" ref="I75">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78" xr:uid="{e92de04f-4b38-483d-b5c8-f267e1ffc7a8}" ref="F224">
      <text>
        <t xml:space="preserve">[Threaded comment]
 Your version of Excel allows you to read this threaded comment; however, any edits to it will get removed if the file is opened in a newer version of Excel. Learn more: https://go.microsoft.com/fwlink/?linkid=870924
Comment:
	reedirecionar a johanna
</t>
      </text>
    </comment>
    <comment authorId="179" xr:uid="{ee6ecc72-7294-43aa-8046-71aa1c30e6d7}" ref="I13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80" xr:uid="{efde5984-19d4-4822-9087-f062392d35fb}" ref="I7">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81" xr:uid="{f1f8f889-f29e-431b-b048-a5a7e076c260}" ref="I185">
      <text>
        <t xml:space="preserve">[Threaded comment]
 Your version of Excel allows you to read this threaded comment; however, any edits to it will get removed if the file is opened in a newer version of Excel. Learn more: https://go.microsoft.com/fwlink/?linkid=870924
Comment:
	listo
Reply:
	LISTOOO
</t>
      </text>
    </comment>
    <comment authorId="182" xr:uid="{f33c4d3a-fce9-4eea-9556-a80df44610c0}" ref="I47">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83" xr:uid="{f59d2703-bd48-448e-8e10-250da3e759ee}" ref="I105">
      <text>
        <t xml:space="preserve">[Threaded comment]
 Your version of Excel allows you to read this threaded comment; however, any edits to it will get removed if the file is opened in a newer version of Excel. Learn more: https://go.microsoft.com/fwlink/?linkid=870924
Comment:
	@content.creatorerni@gmail.com cambiar por aprobado
</t>
      </text>
    </comment>
    <comment authorId="184" xr:uid="{f60e7b80-9c71-423b-8327-fd6949064d82}" ref="I102">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85" xr:uid="{f61f5b53-c007-417e-9d66-d21ad3e2fced}" ref="I4">
      <text>
        <t xml:space="preserve">[Threaded comment]
 Your version of Excel allows you to read this threaded comment; however, any edits to it will get removed if the file is opened in a newer version of Excel. Learn more: https://go.microsoft.com/fwlink/?linkid=870924
Comment:
	terminado
</t>
      </text>
    </comment>
    <comment authorId="186" xr:uid="{f9b893db-1486-43cc-a070-77d6c90eadf6}" ref="I49">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87" xr:uid="{fa20eef8-6e66-43d5-b76f-f7a1c8eb0759}" ref="I233">
      <text>
        <t xml:space="preserve">[Threaded comment]
 Your version of Excel allows you to read this threaded comment; however, any edits to it will get removed if the file is opened in a newer version of Excel. Learn more: https://go.microsoft.com/fwlink/?linkid=870924
Comment:
	por aprobar
</t>
      </text>
    </comment>
    <comment authorId="188" xr:uid="{fba972a0-157f-4b74-81a6-5b29b3bd6cd1}" ref="I83">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89" xr:uid="{fc5bbd0a-5e3a-4871-8771-562d42692ac4}" ref="I146">
      <text>
        <t xml:space="preserve">[Threaded comment]
 Your version of Excel allows you to read this threaded comment; however, any edits to it will get removed if the file is opened in a newer version of Excel. Learn more: https://go.microsoft.com/fwlink/?linkid=870924
Comment:
	esta salutacion se va a remodificar para rrss con contenido creado
</t>
      </text>
    </comment>
    <comment authorId="190" xr:uid="{fd2d2fcd-2d15-4e5b-9f05-991cae2cb8f9}" ref="J147">
      <text>
        <t xml:space="preserve">[Threaded comment]
 Your version of Excel allows you to read this threaded comment; however, any edits to it will get removed if the file is opened in a newer version of Excel. Learn more: https://go.microsoft.com/fwlink/?linkid=870924
Comment:
	Fue terminado y aprobado el día lunes 13 de julio
</t>
      </text>
    </comment>
    <comment authorId="191" xr:uid="{fe51b761-cd58-4d22-aabc-586fab6e6265}" ref="I74">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 authorId="192" xr:uid="{ff74638d-7f58-4f7e-8b01-ea5d52fb5acc}" ref="I126">
      <text>
        <t xml:space="preserve">[Threaded comment]
 Your version of Excel allows you to read this threaded comment; however, any edits to it will get removed if the file is opened in a newer version of Excel. Learn more: https://go.microsoft.com/fwlink/?linkid=870924
Comment:
	listo
</t>
      </text>
    </comment>
  </commentList>
</comments>
</file>

<file path=xl/sharedStrings.xml><?xml version="1.0" encoding="utf-8"?>
<sst xmlns="http://schemas.openxmlformats.org/spreadsheetml/2006/main" count="3232" uniqueCount="662">
  <si>
    <t>Marca temporal</t>
  </si>
  <si>
    <t>Fecha de entrega</t>
  </si>
  <si>
    <t>Nombre de arte/flyer</t>
  </si>
  <si>
    <t>¿Qué se quiere lograr con esta pieza?</t>
  </si>
  <si>
    <t>¿Qué se publica?</t>
  </si>
  <si>
    <t>Diseñador</t>
  </si>
  <si>
    <t>Responsble</t>
  </si>
  <si>
    <t>Prioridad</t>
  </si>
  <si>
    <t>Estatus</t>
  </si>
  <si>
    <t>Fecha de termino</t>
  </si>
  <si>
    <t>Departamento</t>
  </si>
  <si>
    <t>Imagen referencial</t>
  </si>
  <si>
    <t>¿Qué se imprime?</t>
  </si>
  <si>
    <t>Área</t>
  </si>
  <si>
    <t>¿Cuántos diseños se necesita?</t>
  </si>
  <si>
    <t>¿A que medio pertenece?</t>
  </si>
  <si>
    <t>Dirección de correo electrónico</t>
  </si>
  <si>
    <t>¿Cuántas piezas?</t>
  </si>
  <si>
    <t>¿Qué se publica? 2</t>
  </si>
  <si>
    <t>¿Qué se imprime? 2</t>
  </si>
  <si>
    <t>En qué material</t>
  </si>
  <si>
    <t>Definir las medidas</t>
  </si>
  <si>
    <t xml:space="preserve">Día Internacional de la Obstetricia y de la Embarazada </t>
  </si>
  <si>
    <t>https://trello.com/c/T5wd5eSK/417-d%C3%ADa-internacional-de-la-obstetricia-y-de-la-embarazada</t>
  </si>
  <si>
    <t>RRSS Historias</t>
  </si>
  <si>
    <t>Fernando</t>
  </si>
  <si>
    <t>rcrespokromimarket@gmail.com</t>
  </si>
  <si>
    <t>Normal</t>
  </si>
  <si>
    <t>Terminado</t>
  </si>
  <si>
    <t>Mercadeo</t>
  </si>
  <si>
    <t>Digital</t>
  </si>
  <si>
    <t xml:space="preserve">DIA DE LA VIRGEN DE COROMOTO	</t>
  </si>
  <si>
    <t>https://trello.com/c/oQ1cUVqF/418-dia-de-la-virgen-de-coromoto</t>
  </si>
  <si>
    <t>(FARMACIA) DIA MUNDIAL DE LA FISIOTERAPIA</t>
  </si>
  <si>
    <t>https://trello.com/c/KbZursoC/419-dia-mundial-de-la-fisioterapia</t>
  </si>
  <si>
    <t xml:space="preserve">(FARMACIA) DIA MUNDIAL CONTRA LA PREVENCION DEL SUICIDIO	</t>
  </si>
  <si>
    <t>https://trello.com/c/TWjoyz7R/420-d%C3%ADa-mundial-para-la-prevenci%C3%B3n-del-suicidio</t>
  </si>
  <si>
    <t>Coffee Market</t>
  </si>
  <si>
    <t>https://trello.com/c/ZtX4pex9/423-coffee-market</t>
  </si>
  <si>
    <t>RRSS Post</t>
  </si>
  <si>
    <t>Ernesto Fava</t>
  </si>
  <si>
    <t>Cancelado</t>
  </si>
  <si>
    <t>content.creatorerni@gmail.com</t>
  </si>
  <si>
    <t>Precios de Farmacia</t>
  </si>
  <si>
    <t>Ofertas de farmacia enviadas por correo</t>
  </si>
  <si>
    <t>RRSS Historias, RRSS Carrusel, Tienda televisor (horizontal y vertical), Banner web, Ofertas</t>
  </si>
  <si>
    <t>Farmacia</t>
  </si>
  <si>
    <t>Resultado ultimo partido mundial 2026 usando la plantilla existente para los resultados de partido usando como titulo "Ganador del mundo" y omitiendo mensaje de invitación.</t>
  </si>
  <si>
    <t>Plantilla actualizada del partido Argentina vs. España</t>
  </si>
  <si>
    <t>1 diseño para diferentes formatos (Historias, Televisores, impresión)</t>
  </si>
  <si>
    <t>OPOTUNIDAD FARMACIA</t>
  </si>
  <si>
    <t>PRECIOS DE FAMRACIA ENVIADOS POR DAVID</t>
  </si>
  <si>
    <t>1 diseño para varias fotos o videos (Mismo diseño con diferentes fotos o videos)</t>
  </si>
  <si>
    <t>PRECIOS SAN FELIPE</t>
  </si>
  <si>
    <t>RRSS Historias, RRSS Carrusel, Tienda televisor (horizontal y vertical), Ofertas</t>
  </si>
  <si>
    <t>Compras</t>
  </si>
  <si>
    <t>Parrilla · Video carnicería</t>
  </si>
  <si>
    <t>https://trello.com/c/Uip6KJkP/424-parrilla</t>
  </si>
  <si>
    <t>RRSS Reel</t>
  </si>
  <si>
    <t>1 diseño único para un video</t>
  </si>
  <si>
    <t>PRECIOS AL MAYOR</t>
  </si>
  <si>
    <t>Mini chef</t>
  </si>
  <si>
    <t xml:space="preserve">impresiones </t>
  </si>
  <si>
    <t>Banner web, impresiones</t>
  </si>
  <si>
    <t>fabiana.kromimarket@gmail.com</t>
  </si>
  <si>
    <t>Eventos</t>
  </si>
  <si>
    <t>Digital e impreso</t>
  </si>
  <si>
    <t>impresiones</t>
  </si>
  <si>
    <t>Mini chef - Listado de impresiones</t>
  </si>
  <si>
    <t>ALLI SE DETALLA CADA PIEZA QUE SE NECESITA  
https://docs.google.com/spreadsheets/d/1OWZ0rCI3rZY-BkMUpP8CddOPDu9GvZlL/edit?usp=sharing&amp;ouid=115859473630528259469&amp;rtpof=true&amp;sd=true</t>
  </si>
  <si>
    <t>IMPRESIONES</t>
  </si>
  <si>
    <t>Importante</t>
  </si>
  <si>
    <t>PRECIOS FARMACIA</t>
  </si>
  <si>
    <t>RRSS Historias, RRSS Carrusel, Banner web</t>
  </si>
  <si>
    <t>Mini Chef - Plantilla patrocinios #1</t>
  </si>
  <si>
    <t>https://trello.com/c/mx1u4kLO/1-arte-patrocinios-feed-1</t>
  </si>
  <si>
    <t>https://drive.google.com/open?id=1GqLBE25TuidFDvtWhRICwHQiB2n2-5yL, https://drive.google.com/open?id=1lZNVyPJAyrcPeJ3hEdopJiQ7ROuwQgO2</t>
  </si>
  <si>
    <t>Mini Chef - Inscripciones infografía</t>
  </si>
  <si>
    <t>https://trello.com/c/IwQXAGB8/10-incripciones</t>
  </si>
  <si>
    <t>RRSS Carrusel</t>
  </si>
  <si>
    <t>https://drive.google.com/open?id=1e9M3k9AYRdAgkbUqEejc2VQaA5G5meKl</t>
  </si>
  <si>
    <t>Mini Chef - Banner Google Forms</t>
  </si>
  <si>
    <t>https://trello.com/c/AWhboPYQ/35-inscripciones-forms</t>
  </si>
  <si>
    <t>Banner para formulario de Google Forms</t>
  </si>
  <si>
    <t>https://drive.google.com/open?id=1enE6jlRtqgCsY-iH8YfM29-_6jHKXY0D</t>
  </si>
  <si>
    <t>Mini Chef - Plantilla patrocinios #2</t>
  </si>
  <si>
    <t>https://trello.com/c/kNOi25ol/2-arte-patrocinios-feed-2</t>
  </si>
  <si>
    <t>RRSS Historias, RRSS Post</t>
  </si>
  <si>
    <t>Mini Chef - Portada historia destacada</t>
  </si>
  <si>
    <t>https://trello.com/c/gHpxwxfD/23-portada-historia-destacada</t>
  </si>
  <si>
    <t>1 diseño para un formato</t>
  </si>
  <si>
    <t>Mini Chef - Inscripciones historia</t>
  </si>
  <si>
    <t>https://trello.com/c/Z7walo75/18-info-inscripciones</t>
  </si>
  <si>
    <t>RRSS Carrusel, Tienda televisor (horizontal y vertical), Banner web, Ofertas</t>
  </si>
  <si>
    <t>RRSS Carrusel, Tienda televisor (horizontal y vertical), Ofertas</t>
  </si>
  <si>
    <t>Mini Chef - Dinámica</t>
  </si>
  <si>
    <t>https://trello.com/c/PYNiq0kM/9-din%C3%A1mica-mini-chef</t>
  </si>
  <si>
    <t>¡Feliz semana mundial de la lactancia materna!</t>
  </si>
  <si>
    <t>https://trello.com/c/Jlm2Avne/427-feliz-semana-de-la-lactancia-mundial</t>
  </si>
  <si>
    <t>Preguntas y Respuestas con un Pediatra</t>
  </si>
  <si>
    <t>https://trello.com/c/8tlTl87y/428-preguntas-y-respuestas-con-un-pediatra</t>
  </si>
  <si>
    <t>Mini Chef - Recordando 7ma edición</t>
  </si>
  <si>
    <t>https://trello.com/c/ghIhFnQ8/4-recordando-7ma-edici%C3%B3n</t>
  </si>
  <si>
    <t>Mini Chef - Cierre de inscripciones</t>
  </si>
  <si>
    <t>https://trello.com/c/qUW4BzV0/36-cierre-inscripciones</t>
  </si>
  <si>
    <t>Precios de farmacia</t>
  </si>
  <si>
    <t>Ofertas de farmacia del 31 de julio al 04 de agosto</t>
  </si>
  <si>
    <t>RRSS Historias, RRSS Carrusel, Banner web, Ofertas</t>
  </si>
  <si>
    <t>RRSS Historias, RRSS Carrusel, Tienda televisor (horizontal y vertical), Banner web</t>
  </si>
  <si>
    <t>RRSS Historias, RRSS Carrusel, Tienda televisor (horizontal y vertical)</t>
  </si>
  <si>
    <t>jornada de salud</t>
  </si>
  <si>
    <t>Jueves 20 jornada de salud con el internista Fremig Isaí Camacho paredes M.P.P.S: 129996 CMY:4531. despistaje de glicemia, toma de presion arterial y medicina general  cupos limitados a las 9:00 am.</t>
  </si>
  <si>
    <t>juan.kromimarket@gmail.com</t>
  </si>
  <si>
    <t>https://drive.google.com/open?id=1NbbIk1-eF7MIWBvjCdu3PvdqrXUzcXRZ</t>
  </si>
  <si>
    <t>Vitamina C + Zinc: El duo perfecto para tus defensas</t>
  </si>
  <si>
    <t>https://trello.com/c/NEtMvODD</t>
  </si>
  <si>
    <t>POST ESTATICO</t>
  </si>
  <si>
    <t>Pasta RUMMO</t>
  </si>
  <si>
    <t>https://trello.com/c/R2xzK4dX/431-pasta-rummo</t>
  </si>
  <si>
    <t>Gerencia</t>
  </si>
  <si>
    <t>Tortillas Agave</t>
  </si>
  <si>
    <t>https://trello.com/c/Fffz9oHd/433-tortillas-tostadas</t>
  </si>
  <si>
    <t>Magnesio para el estrés</t>
  </si>
  <si>
    <t>https://trello.com/c/OI1u1WDG/436-magnesio-para-el-estr%C3%A9s</t>
  </si>
  <si>
    <t>RRSS Historias, RRSS Carrusel</t>
  </si>
  <si>
    <t>Etiquetas zumos</t>
  </si>
  <si>
    <t>Adaptar el tamaño de las etiquetas</t>
  </si>
  <si>
    <t>echacon.kromimarket@gmail.com</t>
  </si>
  <si>
    <t>Avisos</t>
  </si>
  <si>
    <t>Interno</t>
  </si>
  <si>
    <t>Impreso</t>
  </si>
  <si>
    <t>Vinil</t>
  </si>
  <si>
    <t>7x15 y 5x12</t>
  </si>
  <si>
    <t>RRSS Carrusel, Tienda televisor (horizontal y vertical), Banner web</t>
  </si>
  <si>
    <t>Ricardo</t>
  </si>
  <si>
    <t>adaptacion del la jornada medica a banner web</t>
  </si>
  <si>
    <t>adaptacion del la jornada medica 20 de agosto a banner web</t>
  </si>
  <si>
    <t>Banner web</t>
  </si>
  <si>
    <t>banner web (PRÓXIMAMENTE NUEVAS JORNADAS MÉDICAS)</t>
  </si>
  <si>
    <t>https://trello.com/c/UJpegRuE</t>
  </si>
  <si>
    <t>RRSS Carrusel, Banner web</t>
  </si>
  <si>
    <t>Reservas por WhatsApp</t>
  </si>
  <si>
    <t>https://trello.com/c/W8SNFWD9/1-servicio-whatsapp</t>
  </si>
  <si>
    <t>OMEGA 3 Y EL COLESTEROL</t>
  </si>
  <si>
    <t>https://trello.com/c/YIfmMZ8y</t>
  </si>
  <si>
    <t>COLAGENO HIDROLIZADO</t>
  </si>
  <si>
    <t>https://trello.com/c/zsz7Ahse/454-col%C3%A1geno-hidrolizado</t>
  </si>
  <si>
    <t>Habladores tematizado</t>
  </si>
  <si>
    <t>Adaptación de plantillas a habladores</t>
  </si>
  <si>
    <t>habladores de precios</t>
  </si>
  <si>
    <t>se imprimen habladores de precio</t>
  </si>
  <si>
    <t>Rotulaciones</t>
  </si>
  <si>
    <t>Papelería</t>
  </si>
  <si>
    <t>1/4 de carta</t>
  </si>
  <si>
    <t>Seleccionados - Mini Chef</t>
  </si>
  <si>
    <t>https://trello.com/c/Kkqu9IBc/39-seleccionados</t>
  </si>
  <si>
    <t>RRSS Post, RRSS Carrusel, Tienda televisor (horizontal y vertical), Banner web</t>
  </si>
  <si>
    <t>Carnicería - Para el sabor en casa</t>
  </si>
  <si>
    <t>https://trello.com/c/yoSaKryc/2-para-el-sabor-de-casa</t>
  </si>
  <si>
    <t>Regreso a clases y vitamina para los niños</t>
  </si>
  <si>
    <t>https://trello.com/c/5LZVQLHU</t>
  </si>
  <si>
    <t>Vacante - Enfermera</t>
  </si>
  <si>
    <t xml:space="preserve">Enfermera ocupacional:
Competencias Técnicas: 
•        Educación Formal :Egresado Universitario de carrera larga Licenciado en Enfermería o TSU en Enfermería con diplomado en Salud Ocupacional.
•        Experiencia: 4 años realizando procesos similares.
•        Conocimientos: LOTTT y su Reglamento, LOPCYMAT, Ley para Personas con Discapacidad, Norma Técnica, Gacetas oficiales y Decretos. 
Información de Interés 
•        Inscripción en Inpsasel.
•        diplomado en salud ocupacional.
•        Turnos rotativo.
</t>
  </si>
  <si>
    <t>Selección</t>
  </si>
  <si>
    <t>Guia visual de gripe vs resfriado</t>
  </si>
  <si>
    <t>https://trello.com/c/jeOtZFy5</t>
  </si>
  <si>
    <t>taller de repostería</t>
  </si>
  <si>
    <t>viernes 25 de septiembre taller de repostería  torta red velvet  (receta y técnicas para la preparación) a cargo de @artesasaresposteria.sf por inscripción para 25 participantes  10 de la mañana</t>
  </si>
  <si>
    <t>https://drive.google.com/open?id=1TSssgqFavVtbQBwX5wlj4UKpfOQpbhrV</t>
  </si>
  <si>
    <t xml:space="preserve">jueves 18 jornada de salud pediátrica con la doctora carolina mendez  CMY:2774,  MPPS: 70406 a las 9 de la mañana cupos limitados 
jornada gratuita </t>
  </si>
  <si>
    <t>RRSS Historias, RRSS Carrusel, Tienda televisor (horizontal)</t>
  </si>
  <si>
    <t>Tensiómetro: Prevención Hoy</t>
  </si>
  <si>
    <t>https://trello.com/c/2iGkciAx</t>
  </si>
  <si>
    <t>Solicitud de vacantes</t>
  </si>
  <si>
    <t xml:space="preserve">Comercializadora Kromi Market:
•	AUXILIAR DE CAJA. 
•	AYUDANTE OPERATIVO INTEGRAL  ( CHARCUTERIA -VIVERES-FRUVER)
•	AUXILIAR DE PCP.
•	ELECTROMECANICO.
•	ANALISTA DE VENTAS EN LINEA. 
•	ANALISTA DE SEGURIDAD Y SALUD LABORAL.
•	ANALISTA DE ADMINISTRACION DE PERSONAL
•	ANALISTA DE INVENTARIOS
•	ENFERMERA OCUPACIONAL.
•	SUPERVISOR DE CAJA.
•	SUPERVISOR DE VENTAS EN LINEA. 
•	JEFE DE OPERACIONES.
Kromi Farmacia:
•	REGENTE DE FARMACIA.
•	AUXILIAR DE FARMACIA.
•	APRENDIZ DE FARMACIA.
</t>
  </si>
  <si>
    <t>PRECIO AL MAYOR</t>
  </si>
  <si>
    <t>Día Mundial de los Primeros Auxilios</t>
  </si>
  <si>
    <t>https://trello.com/c/fpgKbGo8</t>
  </si>
  <si>
    <t>Correo interno</t>
  </si>
  <si>
    <t>BANNER REGRESO A CLASES FARMACIA</t>
  </si>
  <si>
    <t>https://trello.com/c/TqQdpJkF/465-banner-regreso-a-clases-farmacia</t>
  </si>
  <si>
    <t>COUNTA de Nombre de arte/flyer</t>
  </si>
  <si>
    <t>Marca temporal - Día-Mes</t>
  </si>
  <si>
    <t>https://trello.com/c/TqQdpJkF</t>
  </si>
  <si>
    <t>Fecha de entrega - Día-Mes</t>
  </si>
  <si>
    <t>8-oct</t>
  </si>
  <si>
    <t>13-oct</t>
  </si>
  <si>
    <t>19-oct</t>
  </si>
  <si>
    <t>21-oct</t>
  </si>
  <si>
    <t>22-oct</t>
  </si>
  <si>
    <t>23-oct</t>
  </si>
  <si>
    <t>26-oct</t>
  </si>
  <si>
    <t>16-oct</t>
  </si>
  <si>
    <t>27-oct</t>
  </si>
  <si>
    <t>29-oct</t>
  </si>
  <si>
    <t>30-oct</t>
  </si>
  <si>
    <t>Regreso a clases - Banners web</t>
  </si>
  <si>
    <t>https://trello.com/c/oKNxw6dJ/1-banners-secundarios-5-piezas</t>
  </si>
  <si>
    <t>5 diseños</t>
  </si>
  <si>
    <t>TRAMA DE FRUVER</t>
  </si>
  <si>
    <t>ROTULAR EL LATERAL DE UNA DE LAS NEVERAS</t>
  </si>
  <si>
    <t>https://drive.google.com/open?id=1gaM8Kvn2ceP28tHfL7I2cUz3hF8E8ZI9</t>
  </si>
  <si>
    <t>1 PIEZA</t>
  </si>
  <si>
    <t>1.10m ancho x 1.90m de alto</t>
  </si>
  <si>
    <t>Contenido - Fotoprotector</t>
  </si>
  <si>
    <t>https://trello.com/c/BXdi8VI1/463-fotoprotecci%C3%B3n</t>
  </si>
  <si>
    <t>Contenido - Piel seca VS. deshidratada</t>
  </si>
  <si>
    <t>https://trello.com/c/us1iOick</t>
  </si>
  <si>
    <t>Contenido - 3 Pasos Diarios para tus Riñones</t>
  </si>
  <si>
    <t>https://trello.com/c/A680bVpO/464-salud-renal</t>
  </si>
  <si>
    <t>Efeméride - Día mundial del Alzheimer</t>
  </si>
  <si>
    <t>https://trello.com/c/rdlzTsqK</t>
  </si>
  <si>
    <t>HISTORIA IMPUSLO FARMACIA</t>
  </si>
  <si>
    <t>https://trello.com/c/r9QyZ2i0/471-impulso-living</t>
  </si>
  <si>
    <t>PRECIOS APROVECHA</t>
  </si>
  <si>
    <t>Contenido - Verduras para sopas y guisos</t>
  </si>
  <si>
    <t>https://trello.com/c/gBb4NOSw/1-sopas-y-guisos</t>
  </si>
  <si>
    <t>3 diseños</t>
  </si>
  <si>
    <t>https://trello.com/c/V6LUdQXz</t>
  </si>
  <si>
    <t xml:space="preserve">parches </t>
  </si>
  <si>
    <t xml:space="preserve">costilla de res $4.60, huevo 15 unidades $3.24 
</t>
  </si>
  <si>
    <t>Lona</t>
  </si>
  <si>
    <t>110*36</t>
  </si>
  <si>
    <t>Evento - Jornada de salud</t>
  </si>
  <si>
    <t>viernes 16 de octubre jornada de salud, toma de la presión arterial, despistaje de glicemia y medicina general con el Dr Fremig Camacho médico internista MPPS:129996 CMY: 4531</t>
  </si>
  <si>
    <t>Evento - Taller de masa de hojaldre</t>
  </si>
  <si>
    <t xml:space="preserve">viernes 23 octubre   taller de masa de hojaldre  preparación de milhojas  a cargo de  @artesanoreposteria.sf  a las 10 de la mañana en tienda san felipe para 30 participantes </t>
  </si>
  <si>
    <t>https://drive.google.com/open?id=1E4B-gcZd7TkADA2dNVu7kIJpLaRXMNTn</t>
  </si>
  <si>
    <t xml:space="preserve">Evento - Taller de repostería </t>
  </si>
  <si>
    <t xml:space="preserve">viernes 30 de octubre  taller repostería  preparación   brownie   de   a cargo de  @artesanoreposteria.sf  a las 10 de la mañana en tienda san felipe para 30 participantes </t>
  </si>
  <si>
    <t>https://drive.google.com/open?id=1-IqXOGu0aaaoUspJRAVId7YszqoJihVz</t>
  </si>
  <si>
    <t>Contenido - Útiles regreso a clases</t>
  </si>
  <si>
    <t>https://trello.com/c/gMUaLRCQ/2-carrusel-%C3%BAltiles</t>
  </si>
  <si>
    <t>Interno - Fondo de pantallas cáncer de mama</t>
  </si>
  <si>
    <t>CAMBIAR LOS FONDOS DE PANTALLA</t>
  </si>
  <si>
    <t>RRSS Avatar, FONDOS DE PANTALLA</t>
  </si>
  <si>
    <t>Efeméride - Día mundial del corazón</t>
  </si>
  <si>
    <t>https://trello.com/c/HXVDq4zL</t>
  </si>
  <si>
    <t>Efeméride - Día mundial del farmaceutico</t>
  </si>
  <si>
    <t>https://trello.com/c/2qhS9ZJW</t>
  </si>
  <si>
    <t xml:space="preserve">Modificar pendon dale peso a tu salud </t>
  </si>
  <si>
    <t xml:space="preserve">hacer cambios en las fechas y colocar una persona haciendo ejercicios </t>
  </si>
  <si>
    <t>jhernandez1.kromimarket@gmail.com</t>
  </si>
  <si>
    <t>Capital Humano</t>
  </si>
  <si>
    <t>Pendones</t>
  </si>
  <si>
    <t>Banner</t>
  </si>
  <si>
    <t xml:space="preserve">120 cm X 90 cm </t>
  </si>
  <si>
    <t>Natulac - Regreso a clases</t>
  </si>
  <si>
    <t>https://trello.com/c/VUBm7S91/3-natulac</t>
  </si>
  <si>
    <t>Contenido - Importancia del ácido fólico</t>
  </si>
  <si>
    <t>https://trello.com/c/i2Cgn3iu</t>
  </si>
  <si>
    <t>Contenido - ¿Cuidas bien tus medicamentos?</t>
  </si>
  <si>
    <t>https://trello.com/c/DtBJnp0Z</t>
  </si>
  <si>
    <t>Impresión - Señalización nevera pescadería</t>
  </si>
  <si>
    <t xml:space="preserve">Adaptar el arte ya existente de Autoservicio Pescadería a una medida de 1.9m de ancho x 30 cm de alto. Deja una holgura de 1 cm por favor. </t>
  </si>
  <si>
    <t>https://drive.google.com/open?id=1kQ_4DdvOVGqCoUm8iPKIOCfBMNbwopxX</t>
  </si>
  <si>
    <t>1.9 de ancho x 30 cm de alto</t>
  </si>
  <si>
    <t>Efeméride - Día internacional del lenguaje de señas</t>
  </si>
  <si>
    <t>https://trello.com/c/4WSQbW7c/474-d%C3%ADa-del-lenguaje-de-se%C3%B1as</t>
  </si>
  <si>
    <t>Ofertas - Precios de oportunidad</t>
  </si>
  <si>
    <t>Ofertas del 18 al 20 de septiembre</t>
  </si>
  <si>
    <t>La Monserratina - Carnicería</t>
  </si>
  <si>
    <t>https://trello.com/c/QJiFRaD7/7-la-monserratina</t>
  </si>
  <si>
    <t>Efeméride - Día Mundial contra la Rabia</t>
  </si>
  <si>
    <t>https://trello.com/c/2wpLSMvS/450-d%C3%ADa-mundial-contra-la-rabia</t>
  </si>
  <si>
    <t>No a tiempo</t>
  </si>
  <si>
    <t>Dangler Kromi App</t>
  </si>
  <si>
    <t>Cambiar el QR por el generado ya</t>
  </si>
  <si>
    <t>Dangler</t>
  </si>
  <si>
    <t>dangler</t>
  </si>
  <si>
    <t>las mismas que ya tiene, solo modificar qr</t>
  </si>
  <si>
    <t>RRSS Carrusel, Tienda televisor (horizontal y vertical)</t>
  </si>
  <si>
    <t>Concurso Polar - Nevera + Cerveza</t>
  </si>
  <si>
    <t>https://trello.com/c/K35wefxR/476-concurso-polar</t>
  </si>
  <si>
    <t>Conoce nuestros precios</t>
  </si>
  <si>
    <t>Ofertas del día viernes 18 de septiembre</t>
  </si>
  <si>
    <t>Salutación - App Kromi Online</t>
  </si>
  <si>
    <t>Adaptar arte de la pared de Kromi Online para correo interno cambiando el titulo "Ya tenemos App"</t>
  </si>
  <si>
    <t>https://drive.google.com/open?id=1_Duq0NA8O3qlLtS-BsvIAh3TI_UM05Jc</t>
  </si>
  <si>
    <t>Crustissimo - Regreso a clases</t>
  </si>
  <si>
    <t>https://trello.com/c/SjsbCyBM/4-crustissimo</t>
  </si>
  <si>
    <t>Precios Aprovecha - Especial Vinos</t>
  </si>
  <si>
    <t>Ofertas de la semana del 21 al 24 de septiembre</t>
  </si>
  <si>
    <t>Avatar - Cáncer de mama</t>
  </si>
  <si>
    <t>Avatar del mes del cáncer de mama para perfil de redes sociales.</t>
  </si>
  <si>
    <t>RRSS Avatar</t>
  </si>
  <si>
    <t>1 diseño para 1 formato</t>
  </si>
  <si>
    <t>Efeméride - Día del turismo</t>
  </si>
  <si>
    <t>https://trello.com/c/wbPWYstq/480-d%C3%ADa-del-turismo</t>
  </si>
  <si>
    <t>Precios Aprovecha - Especial Parrillero</t>
  </si>
  <si>
    <t>Ofertas de la semana del 28 de septiembre al 1ero de octubre</t>
  </si>
  <si>
    <t>Vacantes - Búsqueda de personal</t>
  </si>
  <si>
    <t>Solicitud de Ayurami a Alejandra para post de búsqueda de personal</t>
  </si>
  <si>
    <t>alejandramedina46@gmail.com</t>
  </si>
  <si>
    <t>Precios de Oportunidad</t>
  </si>
  <si>
    <t>Ofertas del 25 al 27 de septiembre</t>
  </si>
  <si>
    <t>Urgente</t>
  </si>
  <si>
    <t>Precios farmacia</t>
  </si>
  <si>
    <t>Evento - Ruta del café</t>
  </si>
  <si>
    <t xml:space="preserve">RUTA DEL CAFÉ
¡Celebremos juntos el Día Internacional del Café!
Ven a vivir una experiencia llena de aroma, sabor y sorpresas especialmente para ti.
01 de octubre
11:00 a.m.
• Prebo – café Anzoátegui 
• Mañongo – Nuovo luna
¡Acércate a nuestras tiendas y disfruta de este viaje de sabor! 
En diseño no sé, se me ocurre hace como un camino y pones las tiendas y al lado el logo del proveedor que vaya hacer la actividad (Porque en cada tienda será un proveedor de café diferente) 
Logos agregar: Heinz, St moritz, Fuller, Galletera Italia, Ricci, Iberia, alimentos mar y campo y Puig 
</t>
  </si>
  <si>
    <t>Evento - ¡Llega el Oktoberfest a nuestras tiendas!</t>
  </si>
  <si>
    <t xml:space="preserve">¡Llega el Oktoberfest a nuestras tiendas!
Festival de la cerveza y parrilla 
Sello de Calidad (Destacado):  PRODUCTOS 100% CALIDAD KROMI 
09 DE OCTUBRE – PREBO
16 DE OCTUBRE -MAÑONGO
23 DE OCTUBRE-TRIGAL SUR
30 DE OCTUBRE -TRIGAL NORTE
3:00PM 
EVENTO GRATUITO 
Logos agregar: Heinz, St moritz, Fuller, Galletera Italia, Ricci, Iberia,Polar pilsen, alimentos mar y campo y Puig 
</t>
  </si>
  <si>
    <t>Evento - Tu taza, tu brillo</t>
  </si>
  <si>
    <t xml:space="preserve">MES ROSA
TU TAZA, TU BRILLO
Dale un toque único a tu taza de café mientras celebramos la vida
Con @arteymeriendita
15 DE OCTUBRE 
TIENDA MAÑONGO 
3:00PM
50 CUPOS 
INSCRIBETE YA LINK EN BIO 
NOS COMUNICAREMOS VÍA WHATSAPP CON LOS SELECCIONADOS
Logos agregar: Heinz, St moritz, Fuller, Galletera Italia, Ricci, Iberia, alimentos mar y campo y Puig </t>
  </si>
  <si>
    <t xml:space="preserve">RRSS Historias, RRSS Post, Banner web, banner para formulario y individual tamaño carta </t>
  </si>
  <si>
    <r>
      <rPr/>
      <t xml:space="preserve">https://drive.google.com/open?id=1Se_OL0M-6SEMSBCO8T_1Mavr3M80YCy7, https://drive.google.com/open?id=1n_YmE37FI9el8n2HrFh4yu0EBaxliPhE, https://drive.google.com/open?id=1wmmwqZOZ_mFKxFoEGd_7KSgb_GMGYgu-, https://drive.google.com/open?id=1pug3Y_gJrnm_2KcuzcLIN9HRRTTDUBeZ, </t>
    </r>
    <r>
      <rPr>
        <color rgb="FF1155CC"/>
        <u/>
      </rPr>
      <t>https://drive.google.com/open?id=1zmCgTJcCtezOQzr4mD7wnZ9CgedG9x6L</t>
    </r>
  </si>
  <si>
    <t>C99  Contenido - ¿Cuidas bien tus medicamentos?</t>
  </si>
  <si>
    <t>Salutacion - Día Mundial de la Alimentación</t>
  </si>
  <si>
    <t>https://trello.com/c/LV7R8O8a</t>
  </si>
  <si>
    <t>Salutacion - Día Mundial de la Lucha contra el Cáncer de Mama</t>
  </si>
  <si>
    <t>https://trello.com/c/5VaZvHtk</t>
  </si>
  <si>
    <t>Evento - Dia Producto Fitosana</t>
  </si>
  <si>
    <t>https://trello.com/c/vQZGNRSl</t>
  </si>
  <si>
    <t>carnes de res molida $5
aceite vatel vegetal $3.46
pollo entero $2.85
harina pan $1.05</t>
  </si>
  <si>
    <t xml:space="preserve">Sorteo - Mavesa + Harina P.A.N </t>
  </si>
  <si>
    <t>Agregar isotipo del logo Kromi</t>
  </si>
  <si>
    <t>https://drive.google.com/open?id=1ucAXes18IRYGC1ehazJdDrcDEU3bTojn</t>
  </si>
  <si>
    <t>Precios de oportunidad</t>
  </si>
  <si>
    <t>Ofertas del fin de semana del viernes 02 al domingo 04 de octubre 2026</t>
  </si>
  <si>
    <t xml:space="preserve">PRECIOS CONOCE </t>
  </si>
  <si>
    <t>Vacantes - Analista de Nómina</t>
  </si>
  <si>
    <t xml:space="preserve">Analista de Nómina y Administración de Personal.
- Educación Formal:
Egresado Universitario de carrera larga; Licenciado en Relaciones Industriales, Recursos Humanos o carrera corta TSU en Relaciones Industriales o carrera afín.
- Experiencia:
2 años realizando procesos similares.
- Conocimientos:
LOTTT y su Reglamento, Ley INCES y su Reglamento, Ley para personas con discapacidad, LOCTI, Ley SSO, ordenanzas y decretos Municipales
</t>
  </si>
  <si>
    <t>Vacante - Analista de Seguridad y Salud Laboral</t>
  </si>
  <si>
    <t xml:space="preserve">Analista de Seguridad y salud Laboral.
- Educación Formal: 
Egresado Universitario de carrera larga, Licenciado en Administración de Desastres o de carrera corta TSU Seguridad y Salud Laboral o carrera afín.
- Experiencia:
2 años realizando procesos similares.
- Conocimientos:
Constitución Nacional, LOPCYMAT y su Reglamento parcial, RCHYST, LOTTT y su Reglamento, Ley para Personas con Discapacidad, Normas Técnicas emanadas de Inpsasel, Decreto y Normas de Prevención de Incendios, Gacetas oficiales.
</t>
  </si>
  <si>
    <t>Vacante - Enfermera Ocupacional</t>
  </si>
  <si>
    <t xml:space="preserve">Enfermera Ocupacional. 
- Educación Formal:
Egresado Universitario de carrera larga Licenciado en Enfermería o TSU en Enfermería con diplomado en Salud Ocupacional y registrada en Inpsasel preferiblemente. 
- Experiencia:
4 años realizando procesos similares. 
LOTTT y su Reglamento, LOPCYMAT, Ley para Personas con Discapacidad, Norma Técnica, Gacetas oficiales y Decretos. 
- Beneficios:
Rutas de transporte.
Paquete salarial competitivo.
Otros beneficios socio-económicos.
- Recaudos:
Certificado de salud ( Indispensable).
Cédula de identidad vigente.
Título de estudios concluidos, de acuerdo al cargo.
Cuenta bancaria propia.
</t>
  </si>
  <si>
    <t>Contenido - Dialogo Interno (Psicologa)</t>
  </si>
  <si>
    <t>https://trello.com/c/2UJbhqyM</t>
  </si>
  <si>
    <t>RRSS Historias, RRSS Carrusel, Ofertas</t>
  </si>
  <si>
    <t>Evento - PINTA TERROR KROMI</t>
  </si>
  <si>
    <t>ACTIVIDAD: PINTACARITAS (PINTATERROR KROMI)
"Este 31 de octubre, la magia de halloween llega a Kromi market"
Ven hacer tus compras y diviertete con nuestro evento especial de Pintacaritas de halloween para toda la familia" !te esperamos!
SEDES: TRIGAL SUR/ TRIGAL NORTE/GUATAPARO/CASTILLITO 
DIA: SABADO 31 OCTUBRE</t>
  </si>
  <si>
    <t>furdanetakromimarket@gmail.com</t>
  </si>
  <si>
    <t>resultados encuentro deportivo</t>
  </si>
  <si>
    <t>Dar a conocer los resultados de los juegos deportivos</t>
  </si>
  <si>
    <t>Contenido - Como llegar a San Felipe</t>
  </si>
  <si>
    <t>https://trello.com/c/HDDKAC3X/489-como-llegar-a-la-tienda-san-felipe</t>
  </si>
  <si>
    <t>Por aprobar</t>
  </si>
  <si>
    <t>Contenido - Importancia del acido folico</t>
  </si>
  <si>
    <t>https://kromi-connect.vercel.app/</t>
  </si>
  <si>
    <t>https://kromi-connect.vercel.app</t>
  </si>
  <si>
    <t>RRSS Carrusel, Ofertas</t>
  </si>
  <si>
    <t>Contenido - Habitos que cuidan tu salud mamaria</t>
  </si>
  <si>
    <t>https://trello.com/c/cj6TNAXm</t>
  </si>
  <si>
    <t>Sin empezar</t>
  </si>
  <si>
    <t>Contenido - Guía del Autoexamen Mamario</t>
  </si>
  <si>
    <t>https://trello.com/c/QNjGtf6x</t>
  </si>
  <si>
    <t>RRSS Post, RRSS Carrusel</t>
  </si>
  <si>
    <t>Johanna</t>
  </si>
  <si>
    <t>Promo - Santa Teresa</t>
  </si>
  <si>
    <t>Agregar logo de Kromi Market o isotipo del logo en diseños dados por el proveedor
https://drive.google.com/drive/folders/1DgIJr19-detupM3go8dXiKArgqKu8DGg?usp=drive_link</t>
  </si>
  <si>
    <t>https://drive.google.com/open?id=1Db-uiz0445OxS1ZaoP8Kz5S8Ihq_D1lV, https://drive.google.com/open?id=1ZhwXTYlrzeKVOi_mNg_JnpN6iw9hC3DM</t>
  </si>
  <si>
    <t>Evento - Oktober Fest Trigal Sur</t>
  </si>
  <si>
    <t>Modificar pieza, eliminar "Prebo 09" para colocar en grande "Trigal Sur 23"</t>
  </si>
  <si>
    <t>Empezaron las vacaciones</t>
  </si>
  <si>
    <t>https://trello.com/c/1MhM9Yb9/405-llegaron-las-vacaciones</t>
  </si>
  <si>
    <t>https://drive.google.com/open?id=1rbdhZ5g9Em0Tao0vQIQqwRdZdJl-vYVR, https://drive.google.com/open?id=1NiL1DnN32nJpd_fyNvwYkNvMEeVrQnVn, https://drive.google.com/open?id=1OUSAG9EciiGuLyx6gN0IN3xYhq_SwvEI, https://drive.google.com/open?id=1vW5u3pxPIh7BaORAJx8PQi2LwGSnLSpN</t>
  </si>
  <si>
    <t>Empezaron las vacaciones (Frutas)</t>
  </si>
  <si>
    <t>https://trello.com/c/3Lmokt43/413-frutas</t>
  </si>
  <si>
    <t>https://drive.google.com/open?id=16MpWxsOEbo--u12WeOaKX2wG8TSbyemo, https://drive.google.com/open?id=1ZvpWDBf3W2HSXu5KPbCjvqhQoldfvmPc, https://drive.google.com/open?id=176tQ7G_fpNAuimv9xVzMZaJx3Cp9XjO7, https://drive.google.com/open?id=1X15EEN7M-37QxVEwR6f7nSA_fYy69l6l</t>
  </si>
  <si>
    <t>Patrocinio Yolo</t>
  </si>
  <si>
    <t>https://drive.google.com/open?id=15q_LK3Yfm98t54cIeAEG8fOLxL-Zuq5D</t>
  </si>
  <si>
    <t>https://trello.com/c/fpgKbGo8/421-d%C3%ADa-mundial-de-los-primeros-auxilios</t>
  </si>
  <si>
    <t>Día del niño</t>
  </si>
  <si>
    <t>https://trello.com/c/OWnY05oJ/409-d%C3%ADa-del-ni%C3%B1o</t>
  </si>
  <si>
    <t>https://drive.google.com/open?id=16XzSHQKEQKF_Z-T8BeCff10k47E07GZh</t>
  </si>
  <si>
    <t xml:space="preserve">Mini chef </t>
  </si>
  <si>
    <t xml:space="preserve">video de patrocinantes mini chef </t>
  </si>
  <si>
    <t>Tienda televisor (horizontal)</t>
  </si>
  <si>
    <t>Banner carnicería para web</t>
  </si>
  <si>
    <t>https://trello.com/c/sGN0Kgwf/412-banner-grande-secci%C3%B3n-2</t>
  </si>
  <si>
    <t>https://drive.google.com/open?id=1NKXYdX70N6v1-KkJy5vKGbhpnlcRwStj</t>
  </si>
  <si>
    <t>Tapa cierre día del niño</t>
  </si>
  <si>
    <t>https://trello.com/c/oLTxcf6k/422-d%C3%ADa-del-ni%C3%B1o-casa-hogar</t>
  </si>
  <si>
    <t>Componente gráfico para video</t>
  </si>
  <si>
    <t>VIDEO DÍA DEL NIÑO</t>
  </si>
  <si>
    <t xml:space="preserve">RESUMEN DE L ACATIVIDAD CON LA CASA HOGAR </t>
  </si>
  <si>
    <t>https://drive.google.com/file/d/1iGWEYSoepN6dopdwJtrotpKTQhqFpNAx/view?usp=drive_link</t>
  </si>
  <si>
    <t>Ofertas del fin de semana</t>
  </si>
  <si>
    <t>https://drive.google.com/open?id=1kQT9uq_l1Z8Lb6eWH9wDSk_fsuYnVlQk</t>
  </si>
  <si>
    <t>Vacaciones escolares</t>
  </si>
  <si>
    <t>https://trello.com/c/WEEGhAWw/410-banner-principal</t>
  </si>
  <si>
    <t>https://drive.google.com/open?id=1oSRt4FgBRAYDNgvWpr67EoZkZMeMsitY</t>
  </si>
  <si>
    <t>Precios Aprovecha</t>
  </si>
  <si>
    <t>Ofertas de la semana</t>
  </si>
  <si>
    <t>https://drive.google.com/open?id=18SMNgslWyptk-jVRj_85XYolhpOORLer</t>
  </si>
  <si>
    <t>Cambios - App Kromi</t>
  </si>
  <si>
    <t>- Eliminar sección "Tus favoritos de siempre" para ahorrar tiempo de video
- Agregar método de pago "Tarjeta de crédito" con sub texto "Ciertas condiciones aplican"
- Agregar texto "Descárgala ya" al final del video
- Agregar código QR que lleva a la Play Store</t>
  </si>
  <si>
    <t>RRSS Historias, RRSS Reel, Tienda televisor (horizontal y vertical)</t>
  </si>
  <si>
    <t>1 diseño para un formato (Video vertical)</t>
  </si>
  <si>
    <t>Correciones - Pared Kromi Online Mañongo</t>
  </si>
  <si>
    <t>El texto en este arte debe ubicarse por encima de la mitad, es decir, en Kromi Online este diseño se colocará detrás del mostrador de atención al cliente, no dejando ver el texto que se posiciona en la mitad inferior del arte.</t>
  </si>
  <si>
    <t>Ventas Online</t>
  </si>
  <si>
    <t>https://drive.google.com/open?id=1SxoIMScaewySGoShveYpFjlereY4d4e4</t>
  </si>
  <si>
    <t>- 5 metros de ancho total (Incluyendo puerta) x 3.10 metros de alto
- Tamaño de la puerta 1.01 metros x 2.07 metros</t>
  </si>
  <si>
    <t>App Kromi Online</t>
  </si>
  <si>
    <t>- Banner principal: escritorio (1920 x 400 px) móvil (1080 x 500 px)
- Banner secundario: escritorio (1920 x 100 px) móvil (1080 x 150 px)</t>
  </si>
  <si>
    <t>https://drive.google.com/drive/folders/10Y3pVMFBqs-H7tVfLYlf59QE320Pm1NJ?usp=drive_link</t>
  </si>
  <si>
    <t>1 diseño para un solo formato</t>
  </si>
  <si>
    <t>Ofertas de jueves 23 a domingo 26</t>
  </si>
  <si>
    <t>Mini Chef - Banner web principal #1</t>
  </si>
  <si>
    <t>https://trello.com/c/XCQHe0io/26-banner-web-8va-edici%C3%B3n</t>
  </si>
  <si>
    <t>https://drive.google.com/open?id=12HuqrBClIvYz2_taWG-BTppiMBYQnJJm</t>
  </si>
  <si>
    <t xml:space="preserve">precios de oportunidades </t>
  </si>
  <si>
    <t>Tarjeta Farmacia</t>
  </si>
  <si>
    <t>Ofrecerle a los clientes número de contacto directo y presupuestos a los clientes</t>
  </si>
  <si>
    <t>mismo diseño, solo cambio de qr, tienda y número.</t>
  </si>
  <si>
    <t>10x7</t>
  </si>
  <si>
    <t>Precios Aprovecha - Especial Charcutería</t>
  </si>
  <si>
    <t>Ofertas de la semana del lunes 27 al jueves 30 de julio</t>
  </si>
  <si>
    <t>Mini Chef - Anuncio</t>
  </si>
  <si>
    <t>https://trello.com/c/ksrp6cjj/3-anuncio-8va-edici%C3%B3n</t>
  </si>
  <si>
    <t>Mini Chef - Inscripciones</t>
  </si>
  <si>
    <t>https://trello.com/c/EW4ccUIJ/24-inscripciones</t>
  </si>
  <si>
    <t>TARJETA FARMACIAS (TRIGAL NORTE, SUR, MAÑONGO Y PREBO)</t>
  </si>
  <si>
    <t>Mejorar la imagen de las tarjetas e impulsar el whatsapp</t>
  </si>
  <si>
    <t>Mismo diseño con otros QR y Tiendas segun aplique (Prebo, Trigal Norte, Trigal Sur)</t>
  </si>
  <si>
    <t>10x7 cm</t>
  </si>
  <si>
    <t>Kromi News</t>
  </si>
  <si>
    <t>Periódico interno</t>
  </si>
  <si>
    <t>3 beneficios de la vitamina d3</t>
  </si>
  <si>
    <t>https://trello.com/c/Zmkn7H62</t>
  </si>
  <si>
    <t>¡3 Consejos para tu Lactancia!</t>
  </si>
  <si>
    <t>https://trello.com/c/w1fH7rHo/426-3-consejos-para-tu-lactancia</t>
  </si>
  <si>
    <t>Mini Chef - Banner web principal #3</t>
  </si>
  <si>
    <t>https://trello.com/c/q5zetvbs/28-banner-web-evento-mini-chef</t>
  </si>
  <si>
    <t>Tienda televisor (horizontal y vertical), Banner web</t>
  </si>
  <si>
    <t>Mini Chef - Nostalgia</t>
  </si>
  <si>
    <t>https://trello.com/c/fMHLShvu/15-mi-experiencia</t>
  </si>
  <si>
    <t>Mini Chef - Últimos cupos disponibles</t>
  </si>
  <si>
    <t>https://trello.com/c/3WG8FPKE/17-%C3%BAltimos-cupos-disponibles</t>
  </si>
  <si>
    <t>MARCO CONDUCTA POSITIVA ✨</t>
  </si>
  <si>
    <t>refrescar diseño al marco</t>
  </si>
  <si>
    <t>marco para power point (jpg)</t>
  </si>
  <si>
    <t>Ofertas enviadas por compras para publicar el 31 de julio hasta el 02 de agosto</t>
  </si>
  <si>
    <t>https://drive.google.com/open?id=1zlucWTPrKm2nClbUg4bDXUqIcRdZFQyA</t>
  </si>
  <si>
    <t>Yoia 10% de descuento</t>
  </si>
  <si>
    <t>Historia ofertando toda la línea de helados Yoia</t>
  </si>
  <si>
    <t>RRSS Historias, Ofertas</t>
  </si>
  <si>
    <t>https://drive.google.com/open?id=11apibThGU5nhaCP7mTVNfh0slVXmRXxo</t>
  </si>
  <si>
    <t>Concurso - Mes del huevo</t>
  </si>
  <si>
    <t>Puede ser con estilo de su presentación, pero con nuestros colores.
​¡PARTICIPA POR UN INCREÍBLE PREMIO!
​⭐ Un año gratis de proteína de Huevos El Tunal
​⬇️ ¿Sabes cómo participar?
​🔹 Seguir las cuentas @KromiMarket y @HuevosElTunal.
🔹 Darle like a esta publicación.
🔹 Comenta etiquetando a un amigo para invitarlo a participar y comparte este post en tus historias.
​Elegiremos 1 GANADOR al azar.</t>
  </si>
  <si>
    <t>https://drive.google.com/open?id=1x0kKXF6-IURy3VFIFsNi8iwxUvR4hiP5</t>
  </si>
  <si>
    <t>Precios aprovecha</t>
  </si>
  <si>
    <t>Ofertas del lunes 03 al jueves 06 de agosto</t>
  </si>
  <si>
    <t>Jornada de captación</t>
  </si>
  <si>
    <r>
      <rPr/>
      <t xml:space="preserve">Solicitud de selección para un flyer para una jornada de captación programada para el martes 11 de agosto de 8:00 am a 2:00 pm.
Último arte realizado
</t>
    </r>
    <r>
      <rPr>
        <color rgb="FF1155CC"/>
        <u/>
      </rPr>
      <t>https://www.instagram.com/p/DYFT8YTIAVW/?utm_source=ig_web_copy_link&amp;igsh=MzRlODBiNWFlZA==</t>
    </r>
  </si>
  <si>
    <t>https://drive.google.com/open?id=1-B2PJm2awf4NNuug5P08nqyGtzMDaN4e</t>
  </si>
  <si>
    <t>¡Complejo B y el Cerebro!</t>
  </si>
  <si>
    <t>https://trello.com/c/ekCvJyMV</t>
  </si>
  <si>
    <t>RECIPE MEDICO GUIADO</t>
  </si>
  <si>
    <t>https://trello.com/c/u6kJiVp2/437-recipe-medico-guiado</t>
  </si>
  <si>
    <t>post estatico</t>
  </si>
  <si>
    <t>ADAPTACION ARTE 6PACK HUEVOS</t>
  </si>
  <si>
    <t>Adaptar el arte de historias a CARTA Y OFICIO</t>
  </si>
  <si>
    <t>CARTA Y OFICIO</t>
  </si>
  <si>
    <t>Ofertas del fin de semana del viernes 07 al domingo 09</t>
  </si>
  <si>
    <t>https://drive.google.com/open?id=1gPxmo_oPR4LJSNTmO0qSlvcXIEiAd1Cj</t>
  </si>
  <si>
    <t>Día de la cerveza</t>
  </si>
  <si>
    <t>https://trello.com/c/pSWjdNeU/438-d%C3%ADa-de-la-cerveza-polar</t>
  </si>
  <si>
    <t>Ofertas de la semana del lunes 10 al jueves 13 de agosto</t>
  </si>
  <si>
    <t>https://drive.google.com/open?id=1fJogelrFI0c6_S5PDKXftw02Cb_NDfb3</t>
  </si>
  <si>
    <t>Mucomaxplus Kimiceg</t>
  </si>
  <si>
    <t>https://trello.com/c/8Ddlmh07</t>
  </si>
  <si>
    <t>FEBRILIX GRIP KIMICEG</t>
  </si>
  <si>
    <t>https://trello.com/c/pyH0YB7v/443-febrilix-grip-kimiceg</t>
  </si>
  <si>
    <t>AVISO CARRITOS FARMACIA FITOSANA</t>
  </si>
  <si>
    <t>LETRETO DE CARRITOS DENTRO DE TIENDA PAGO POR FITOSANA</t>
  </si>
  <si>
    <t>1 ARTE PARA 1 FORMATO</t>
  </si>
  <si>
    <t>35X24</t>
  </si>
  <si>
    <t>Ofertas del fin de semana desde el 14 al 16 de agosto</t>
  </si>
  <si>
    <t>https://drive.google.com/open?id=1vYkai-rUOI3nNzbiQY5UUD_OnpHTDi0v</t>
  </si>
  <si>
    <t>APROVECHA</t>
  </si>
  <si>
    <t>Veropan</t>
  </si>
  <si>
    <t>https://trello.com/c/ITP8XEPk/451-veropan</t>
  </si>
  <si>
    <t>Café 1783 Branger</t>
  </si>
  <si>
    <t xml:space="preserve">Historias para impulso de la marca </t>
  </si>
  <si>
    <t>Jendri</t>
  </si>
  <si>
    <t xml:space="preserve">precios al mayor valencia </t>
  </si>
  <si>
    <t>Publicacion RRSS</t>
  </si>
  <si>
    <t>RRSS Historias, RRSS Post, Tienda televisor (horizontal y vertical)</t>
  </si>
  <si>
    <t xml:space="preserve">precios farmacia </t>
  </si>
  <si>
    <t>publicación RRSS</t>
  </si>
  <si>
    <t xml:space="preserve">Precios oportunidad San felipe </t>
  </si>
  <si>
    <t>publicaciones RRSS</t>
  </si>
  <si>
    <t xml:space="preserve">Vacante de empleos </t>
  </si>
  <si>
    <t>Publicación en RRSS</t>
  </si>
  <si>
    <t xml:space="preserve">Precios de oportunidad valencia </t>
  </si>
  <si>
    <t>RRSS Historias, RRSS Post, Tienda televisor (horizontal y vertical), Banner web</t>
  </si>
  <si>
    <t xml:space="preserve">Etiqueta para contenedores </t>
  </si>
  <si>
    <t>para uso de caja secreta</t>
  </si>
  <si>
    <t>https://drive.google.com/open?id=1T_F7b2pq8Kul_Jbzb7VB2frx1XT72ljU, https://drive.google.com/open?id=1O60SARkxai0OrV4ynA25H81IOqj1JMJz, https://drive.google.com/open?id=1MLzoo-cUIl7kzMA6hGHYODTc3bgy9sfj, https://drive.google.com/open?id=10v7CPJBeYhixu3w8-T2GZ9Sq_45jKTfv</t>
  </si>
  <si>
    <t>Stickers</t>
  </si>
  <si>
    <t>Sticker (litho)</t>
  </si>
  <si>
    <t>impresión</t>
  </si>
  <si>
    <t>Dos caras para los frentes: 
Parte superior 51cm ancho x 29cm alto
Parte inferior 47.5cm ancho x 29cm alto
Dos caras laterales:
31cm ancho x 29cm alto</t>
  </si>
  <si>
    <t>parches de lonas, huevo $1.98, harina pan $1.07</t>
  </si>
  <si>
    <t xml:space="preserve">precios de oportunidad </t>
  </si>
  <si>
    <t>Juan E.</t>
  </si>
  <si>
    <t>Informar al personal</t>
  </si>
  <si>
    <t xml:space="preserve">Precios aprovecha </t>
  </si>
  <si>
    <t>Publicación RRSS</t>
  </si>
  <si>
    <t>ALIMENTACIÓN CON SUPLEMENTOS</t>
  </si>
  <si>
    <t>https://trello.com/c/ZJfy9U6r/453-suplementos-vs-alimentos</t>
  </si>
  <si>
    <t>HABLADORES TEMATICOS</t>
  </si>
  <si>
    <t>Adaptar las plantillas temáticas según la programación de aprovecha a formato horizontal para habladores de precio 1/4 carta</t>
  </si>
  <si>
    <t>Habladores de precios</t>
  </si>
  <si>
    <t>adaptar cada plantilla a horizontal</t>
  </si>
  <si>
    <t>Ofertas</t>
  </si>
  <si>
    <t>Balsader Pomada KIMICEG</t>
  </si>
  <si>
    <t>https://trello.com/c/8RQcgSiH</t>
  </si>
  <si>
    <t>NO MEZCLAR ANTIFLAMATORIOS</t>
  </si>
  <si>
    <t>https://trello.com/c/CuckNy6B/456-no-mesclar-antiflamatorios</t>
  </si>
  <si>
    <t>JORNADA: "Dale peso a tu salud"</t>
  </si>
  <si>
    <t xml:space="preserve">Interno </t>
  </si>
  <si>
    <t>https://drive.google.com/open?id=1Txzb5FEW8uVHLX4J7Z5l0DgrA5vaVUEX</t>
  </si>
  <si>
    <t xml:space="preserve">Correo interno </t>
  </si>
  <si>
    <t>Carnicería - Ideas para sopas y guisos</t>
  </si>
  <si>
    <t>https://trello.com/c/sWyhLNbP/3-ideas-para-guisos</t>
  </si>
  <si>
    <t>TABLOIDES CONDUCTA POSITIVA</t>
  </si>
  <si>
    <t>Mostrar al personal quienes ganaron las conductas este trimestre</t>
  </si>
  <si>
    <t>Correo interno, impresión</t>
  </si>
  <si>
    <t>montar todo en 4 tabloides, para que salga mas económico</t>
  </si>
  <si>
    <t>Ofertas del 28 al 30 de agosto</t>
  </si>
  <si>
    <t>https://drive.google.com/open?id=1UMD8LfRUC4uGskQLWhBhE6oxOzWI6IiS</t>
  </si>
  <si>
    <t>Review #1 - Mini Chef</t>
  </si>
  <si>
    <t>https://trello.com/c/sFLTPL8G/5-review-1-equipos</t>
  </si>
  <si>
    <t>Ofertas del 4 al 6 de septiembre</t>
  </si>
  <si>
    <t>https://drive.google.com/open?id=1iULjgDD_NPR2yoJIKJGp00AjWow6t50X</t>
  </si>
  <si>
    <t>Agradecimiento mini chef</t>
  </si>
  <si>
    <t xml:space="preserve">Agradecemos su apoyo en la realizacion de la 8va edicion del mini chef kromi market , Su respaldo como aliados comerciales afianxza nuestro compromiso </t>
  </si>
  <si>
    <t xml:space="preserve">correo </t>
  </si>
  <si>
    <t>Solicitud Incompleta</t>
  </si>
  <si>
    <t>Precios aprovecha - Charcutería</t>
  </si>
  <si>
    <t>Ofertas del lunes 07 al jueves 10 de especial de charcutería.</t>
  </si>
  <si>
    <t>Salud digestiva y probióticos en cápsulas</t>
  </si>
  <si>
    <t>https://trello.com/c/4C0WFdUG</t>
  </si>
  <si>
    <t>Habladores temáticos - Vino</t>
  </si>
  <si>
    <t>Habladores temáticos para los Precios Aprovecha - Adelantos</t>
  </si>
  <si>
    <t>RRSS Historias, RRSS Carrusel, Tienda televisor (horizontal y vertical), Banner web, Ofertas, Impresos</t>
  </si>
  <si>
    <t>Ernesto</t>
  </si>
  <si>
    <t>5 esenciales para tu kit de primeros auxilios</t>
  </si>
  <si>
    <t>https://trello.com/c/aUxSQTcL</t>
  </si>
  <si>
    <t>Día del chocolate</t>
  </si>
  <si>
    <t>https://trello.com/c/p0JCuj49/462-d%C3%ADa-del-chocolate</t>
  </si>
  <si>
    <t>3 diseños para un formato</t>
  </si>
  <si>
    <t>Evento - Dulce sorpresa te espera</t>
  </si>
  <si>
    <t>!UNA DULCE SORPRESA TE ESPERA!
VISITANOS EN KROMI MARKET Y DISFRUTA DE UNA DEGUSTACION DE DULCES POR EL DIA DE HALLOWEEN.
FECHA: SABADO 31 DE OCTUBRE DEL 2026
SEDES: PREBO/MAÑONGO
HORA:  A PARTIR 4:00PM</t>
  </si>
  <si>
    <t>Salutacion - Dia mundial de la salud mental</t>
  </si>
  <si>
    <t>https://trello.com/c/uUlYcxe7</t>
  </si>
  <si>
    <t>RRSS Post, Correo interno</t>
  </si>
  <si>
    <t>Salutacion Redes - Dia Mundial de la Salud Mental</t>
  </si>
  <si>
    <t>https://trello.com/c/QM8wyWvw</t>
  </si>
  <si>
    <t>Sorteo - Ganador Rikesa</t>
  </si>
  <si>
    <t>Diseño basado en post de sorteo de Rikesa para anunciar ganadores (2)</t>
  </si>
  <si>
    <t>https://drive.google.com/open?id=1zXqtFtaFaL2yc3ES23MYs4ZGbzyCrg3Y</t>
  </si>
  <si>
    <t>Sorteo - Ganador Limpia Sol</t>
  </si>
  <si>
    <t>Diseño basado en post de sorteo de Limpia Sol para anunciar ganador (1)</t>
  </si>
  <si>
    <t>https://drive.google.com/open?id=1zyydZmkNer_BmQLlxgV4dbWfwIETaS3R</t>
  </si>
  <si>
    <t>Día de la Resistencia Indígena</t>
  </si>
  <si>
    <t xml:space="preserve">1. Encabezado
12 DE OCTUBRE
Día de la Resistencia Indígena
2. Mensaje Institucional Central
Honramos las raíces, la diversidad y el legado de nuestros pueblos originarios que enriquecen la identidad de nuestra tierra.
3. Bloque Informativo de Servicio
Hoy nuestras tiendas operan en horario normal de [08:00 a.m. a 10:00 p.m.]
</t>
  </si>
  <si>
    <t>RRSS Historias, Correo interno</t>
  </si>
  <si>
    <t>Zulia - Cerveza</t>
  </si>
  <si>
    <t>https://drive.google.com/drive/folders/1qP3SQ2d9aEuz3B1zvsH5Oa5X_AtZy7ZW?usp=drive_link</t>
  </si>
  <si>
    <t>Cofasa Cardiologo</t>
  </si>
  <si>
    <t>https://trello.com/c/ltnSm5jt</t>
  </si>
  <si>
    <t>Atrasado</t>
  </si>
  <si>
    <t>RB MEDICAL- COJIN ORTOPEDICO</t>
  </si>
  <si>
    <t>https://trello.com/c/DeRJRheU</t>
  </si>
  <si>
    <t>En curso</t>
  </si>
  <si>
    <t>Yolo - Yolo Snacks</t>
  </si>
  <si>
    <r>
      <rPr/>
      <t xml:space="preserve">Conservar imagen en su mayoría, solo agregando pequeños detalles gráficos como los textos "Nuevo", "Hasta agotar existencias" y "¡Ven por el tuyo!". Incluir RIF J-30714575-7
Material:
</t>
    </r>
    <r>
      <rPr>
        <color rgb="FF1155CC"/>
        <u/>
      </rPr>
      <t>https://drive.google.com/drive/folders/1tf06z0dhBIjYSU5-WkYKPVHvTprqVZ-H?usp=drive_link</t>
    </r>
  </si>
  <si>
    <t xml:space="preserve">RB MEDICAL -  Nebulizador </t>
  </si>
  <si>
    <t>https://trello.com/c/eYYfpZYW</t>
  </si>
  <si>
    <t>Ofertas del fin de semana desde el viernes 09 al domingo 11 de octubre</t>
  </si>
  <si>
    <t>Contenido - App Kromi</t>
  </si>
  <si>
    <t>https://trello.com/c/XZNut7n7/501-kromi-app</t>
  </si>
  <si>
    <t>Tío Rico - Modificación de arte</t>
  </si>
  <si>
    <t>Eliminar 2x1 y cambiar el precio $8,99 a $9,99 (Precio con IVA incluido)</t>
  </si>
  <si>
    <t>Operaciones Perecederos</t>
  </si>
  <si>
    <t>https://drive.google.com/open?id=1vW3uIPkeL9ospLeBvancPvJ4p04G6t64</t>
  </si>
  <si>
    <t>Contenido - Atencion del Cliente</t>
  </si>
  <si>
    <t>https://trello.com/c/vlXFslZb</t>
  </si>
  <si>
    <t>VI CONCURSO HALLOWEEN</t>
  </si>
  <si>
    <t>Anunciar el concurso de cajeros (detalles y fechas en Correo)</t>
  </si>
  <si>
    <t>https://drive.google.com/open?id=1PYL3YwRRmk-_4jEDOXDt800QqzivH1nn</t>
  </si>
  <si>
    <t>Ofertas - Especial Mexicano</t>
  </si>
  <si>
    <t>Ofertas de la semana del martes 13 al jueves 15 de octubre</t>
  </si>
  <si>
    <t>Contenido - Somos tu Equipo</t>
  </si>
  <si>
    <t>https://trello.com/c/frvyCZ0v</t>
  </si>
  <si>
    <t>Yogures Yoia - Descuento 10%</t>
  </si>
  <si>
    <t>Modificación de historia con 10% de descuento en su línea en las tiendas Prebo y Guataparo</t>
  </si>
  <si>
    <t>https://drive.google.com/open?id=1Roe0PaPFSv1jkafG2q6PruvxaeSmGw-3</t>
  </si>
  <si>
    <t>Contenido Guía del Autoexamen Mamario</t>
  </si>
  <si>
    <t>Evento - Oktober Fest</t>
  </si>
  <si>
    <t>Con fecha para el viernes 16 de octubre se necesita realizar cambios en el arte ya existente como la mención de Dj, premiaciones, show parrillero y más.</t>
  </si>
  <si>
    <t>https://drive.google.com/open?id=13FLQDauqQO8QEVMGbblXog46jFDrvoUm</t>
  </si>
  <si>
    <t>Contenido ¡Kit para tu bienestar rosa!</t>
  </si>
  <si>
    <t>https://trello.com/c/8ZdKKGye</t>
  </si>
  <si>
    <t>Contenido - Dial mundial de la Nutricion</t>
  </si>
  <si>
    <t>https://trello.com/c/zitm74oJ</t>
  </si>
  <si>
    <t xml:space="preserve">Charla - emociones de colores </t>
  </si>
  <si>
    <t>MES ROSA 
EMOCIONES DE COLORES 
Una experiencia de salud integral para la mujer 
Laboratorios – marcas con propósito – Premios y sorpresas 
Exponentes 
Dra. Wilbeth Amaya – Ginecóloga
Dra. Inohelis – Nutricionista
Eso. Maria Eliana Quiñones – Empresaria y Motivadora
Dr. Alirio grisanti – Mastologo y ginecólogo 
Dra. Maria de los ángeles – Psicólogo 
Dra. Luisana Diaz – Psiquiatra 
Sábado 24 de octubre
Tienda Prebo 
Entrada Libre 
Logo: escuela de speaker, kromi</t>
  </si>
  <si>
    <t>Efémeride - Día Mundial de la Alimentación</t>
  </si>
  <si>
    <t>Agregar tapa de App Kromi en Google Play
https://drive.google.com/file/d/1yqp2Gjl2VnvSToUDwPqu52RYPnJVMlE8/view?usp=drive_link</t>
  </si>
  <si>
    <t>Contenido - RB MEDICAL Tensiometros</t>
  </si>
  <si>
    <t>https://trello.com/c/aMrjSovW</t>
  </si>
  <si>
    <t xml:space="preserve">ESTIMADO TRANSPORTISTA por favor estacionarse únicamente en la acera de Kromi. </t>
  </si>
  <si>
    <t>Informar a los transportistas donde se tienen que estacionar</t>
  </si>
  <si>
    <t>2.90m ancho x 2m alto</t>
  </si>
  <si>
    <t>Tío Rico - 30% de descuento</t>
  </si>
  <si>
    <t>Agregar logo de Tío Rico, RIF J-30714575-7, sticker de -30% (o 30% menos), texto indicando que es válida hasta el 31 de octubre.
https://drive.google.com/drive/folders/1NZZKoLHbJPzIs91Vbw-EFnFzCQkSWkQ-?usp=drive_link</t>
  </si>
  <si>
    <t>OCTUBRE Creciendo Juntos"</t>
  </si>
  <si>
    <t>jornada de charlas psicoeducativas “ OCTUBRE Creciendo Juntos” mes de la Salud Mental y Sensibilización sobre el Cáncer de Mama.</t>
  </si>
  <si>
    <t>correo interno</t>
  </si>
  <si>
    <t>Agregar animación de "- 30%" y logo de Tío Rico
https://drive.google.com/file/d/1IQRrBHj5HwOTVOBq1X2ydOMfKqAEWaOB/view?usp=drive_link</t>
  </si>
  <si>
    <t/>
  </si>
  <si>
    <t>Interno - Muestra separador de pasillo</t>
  </si>
  <si>
    <t>identificar pasillos</t>
  </si>
  <si>
    <t>https://drive.google.com/open?id=1WoLsMJf6YBdIJvsTprfpKG4SYq9zEcpb</t>
  </si>
  <si>
    <t>1.20m x 1.20m</t>
  </si>
  <si>
    <t xml:space="preserve">Eventos - Fusión a Ciegas: Café y Cacao con chocolates 20/20 </t>
  </si>
  <si>
    <t xml:space="preserve">Fusión a Ciegas: Café y Cacao con chocolates 20/20
Jueves 01 de octubre 
Evento gratuito 
5:00PM
Salón de eventos Tienda Prebo 
60 cupos
Inscripciones link en bio 
Nos comunicaremos vía WhatsApp con los seleccionados 
</t>
  </si>
  <si>
    <t>RRSS Historias, RRSS Post, banner, impresión individual tamaño carta</t>
  </si>
  <si>
    <t>Impresión - Kromi Fresh</t>
  </si>
  <si>
    <t>Delimitar parte de la nevera de Fruver con cenefas y 2 rompetráficos.</t>
  </si>
  <si>
    <t>https://drive.google.com/open?id=1TJsZFJH-mftO8ZvmNeT09ei7Z7L_UkdR</t>
  </si>
  <si>
    <t>PVC</t>
  </si>
  <si>
    <t>Rompetráfico: 15x15 cuadrado y Cenefa: 124cm x 4.5cm</t>
  </si>
  <si>
    <t>Interno - Invitación encuentro deportivo</t>
  </si>
  <si>
    <t>Solicitud de Veronica Aular para el "Encuentro Deportivo Intertiendas Carabobo 2026"
- Diciplinas: Voleibol, Baloncesto masculino y dominó mixto
- Contactos: 
   - Prebo: Florangel Rojas / Verónica Aular
   - Mañongo: Gladys Moros / Herminia Hernández
   - Trigal Sur: Franlis Delgado / Dameliz Flores
   - Trigal Norte: Luis Ramírez / Dameliz Flores
   - Guataparo: Jolio González / María José Da Silva
   - Castillito: Jorge Márquez / José Ángel Rodríguez
- Fecha y lugar: Miércoles 07/10/2026 8:00 am en Imdenagua - Canchas Don Bosco
Inscripciones: Hasta el 30/09/2026</t>
  </si>
  <si>
    <t>Simulacro de emergencia</t>
  </si>
  <si>
    <t>Necesitamos un flayer en formato historia y para post para anunciar que tendremos un simulacro el martes 29 de septiembre</t>
  </si>
  <si>
    <t>RRSS Historias, RRSS Post, Correo interno</t>
  </si>
  <si>
    <t>Seguridad Laboral</t>
  </si>
  <si>
    <t>https://drive.google.com/open?id=1mfBFKXAC_87o_D7pyYvVvOqVIwxvlCRZ</t>
  </si>
  <si>
    <t>Evento - Jornada de adopción</t>
  </si>
  <si>
    <t>https://trello.com/c/6yq4ASiJ/484-jornada-de-adopci%C3%B3n</t>
  </si>
  <si>
    <t>Efeméride - Día Mundial de los Animales</t>
  </si>
  <si>
    <t>https://trello.com/c/OjmjWjTS/486-d%C3%ADa-de-los-animales</t>
  </si>
  <si>
    <t>Regional - Cervezas</t>
  </si>
  <si>
    <t>Agregar isotipo, agregar Rif J-30714575-7 y agregar diseño de la app Kromi con texto "Ahora en Google Play".</t>
  </si>
  <si>
    <t>Heinz - Presentación de 4</t>
  </si>
  <si>
    <r>
      <rPr/>
      <t xml:space="preserve">Editar imágenes para efecto zoom, agregar isotipo y agregar Rif J-30714575-7
</t>
    </r>
    <r>
      <rPr>
        <color rgb="FF1155CC"/>
        <u/>
      </rPr>
      <t>https://drive.google.com/drive/folders/1TL1DO4BZxciQ4tenCgj6E6qTW93BB0Xb?usp=drive_link</t>
    </r>
  </si>
  <si>
    <t>1 Diseño para 1 formato</t>
  </si>
  <si>
    <t>Plantilla - Especial embutidos</t>
  </si>
  <si>
    <t>Para ofertas de la semana desde el lunes 26 al jueves 29 de octubre</t>
  </si>
  <si>
    <t>Ofertas del fin de semana, desde el viernes 23 al domingo 25 de octubre</t>
  </si>
  <si>
    <t>https://drive.google.com/open?id=1p_wZWq9oVmjC3XfyZqC_9aqGSHKlrt_H</t>
  </si>
  <si>
    <t>Monserratina</t>
  </si>
  <si>
    <t>Navidad - Banners categorías</t>
  </si>
  <si>
    <t>## Pieza 1: Banner Principal Izquierdo
* **Dimensiones:** 800 × 400 px.
* **Imagen Principal:** Hojas, harina, jamón, alcaparras, etc...
* **Texto Titular:** "¡PREPARA TUS HALLACAS!"
* **Ubicación de Enlace:** ``
---
## Pieza 2: Banner superior izquierdo
* **Dimensiones:** 400 × 200 px.
* **Imagen Principal:** Chocolates.
* **Texto Titular:** "DULCES MOMENTOS DE NAVIDAD"
* **Ubicación de Enlace:** `https://www.kromionline.com/Products.php?cat=VIV.CHC&amp;suc=UNI02`
---
## Pieza 3: Banner superior derechos
* **Dimensiones:** 400 × 200 px.
* **Imagen Principal:** Botellas ponche.
* **Texto Titular:** "BRINDIS PARA CELEBRAR"
* **Ubicación de Enlace:** `https://www.kromionline.com/Products.php?des=ponche`
---
## Pieza 4: Banner inferior izquierdo
* **Dimensiones:** 400 × 200 px.
* **Imagen Principal:** Jamón, embutidos y tabla de quesos.
* **Texto Titular:** "CHARCUTERÍA FRESCA"
* **Ubicación de Enlace:** `https://www.kromionline.com/Products.php?cat=CHA&amp;suc=UNI02`
---
## Pieza 5: Banner inferior izquierdo
* **Dimensiones:** 400 × 200 px.
* **Imagen Principal:** Panettones.
* **Texto Titular:** "TRADICIÓN EN FAMILIA"
* **Ubicación de Enlace:** `https://www.kromionline.com/Products.php?des=panettone`</t>
  </si>
  <si>
    <t>https://drive.google.com/open?id=1Ktvz5uB3UbZh-jTJkwVRcxkHvKd-gnOr</t>
  </si>
  <si>
    <t>Navidad - Banner principal web</t>
  </si>
  <si>
    <t>TEXTOS A INCLUIR:
- Título: ¡Empieza la navidad! / NAVIDAD
- CTA: Visítanos este viernes 06 en Prebo y Mañongo
ELEMENTOS A INTEGRAR EN LA PLANTILLA:
- Lado derecho:Panettone y una botella de Ponche Crema.
- Esquina superior derecha/centro: Elemento de Santa Claus (mano con guante blanco y manga roja sosteniendo una campana dorada) sobresaliendo del borde.
https://drive.google.com/open?id=1yc25gZHRYQGM19PqlemS30-NPuWkoiOO</t>
  </si>
  <si>
    <t>https://drive.google.com/open?id=1yc25gZHRYQGM19PqlemS30-NPuWkoiOO</t>
  </si>
  <si>
    <t>Navidad - Avatar Kromi</t>
  </si>
  <si>
    <t>Renovación de avatar de navidad para perfil de RRSS</t>
  </si>
  <si>
    <t xml:space="preserve">inauguración navidad </t>
  </si>
  <si>
    <t>Inauguración de la navidad
Prebo, Mañongo
-Degustación de café con barista y entrega de galletas de jengibre
-Músicos
-Pinta carita o Estación de Cartas a Santa
-Visita de personajes de navidad entregando dulces (Duendes navideños)
-Encendido y visita de santa
-SHOW GAITERO
Prebo Colegio Santa cruz 
Mañongo Montessori 
Prebo, Mañongo, Trigal sur, trigal norte, Guataparo y Castillito 
RECORRIDO DE SANTA</t>
  </si>
  <si>
    <t>Inauguración de la navidad</t>
  </si>
  <si>
    <t xml:space="preserve">06 DE NOVIEMBRE 
TODO EL DÍA
Inauguración de la navidad
Prebo, Mañongo
10:00AM A 12:00PM
-Degustación de café con barista y entrega de galletas de jengibre
1:30PM 
-Músicos
2:30PM
-Pinta carita o Estación de Cartas a Santa
3:00PM
-Visita de personajes de navidad entregando dulces (Duendes navideños)
4:00PM
-Encendido y visita de santa
-SHOW GAITERO
Prebo Colegio Santa cruz 
Mañongo Montessori 
Prebo, Mañongo, Trigal sur, trigal norte, Guataparo y Castillito 
RECORRIDO DE SANTA
</t>
  </si>
  <si>
    <t>Fabiana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</si>
</sst>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d/MM/yyyy H:mm:ss"/>
    <numFmt numFmtId="166" formatCode="dd/mm/yyyy"/>
    <numFmt numFmtId="167" formatCode="dd/mm/yyyy h:mm:ss"/>
  </numFmts>
  <fonts count="13">
    <font>
      <sz val="10.0"/>
      <color rgb="FF000000"/>
      <name val="Arial"/>
      <scheme val="minor"/>
    </font>
    <font>
      <color theme="1"/>
      <name val="Arial"/>
      <scheme val="minor"/>
    </font>
    <font>
      <b/>
      <color theme="1"/>
      <name val="Arial"/>
      <scheme val="minor"/>
    </font>
    <font>
      <u/>
      <color rgb="FF0000FF"/>
      <name val="Roboto"/>
    </font>
    <font>
      <u/>
      <color theme="1"/>
      <name val="Arial"/>
      <scheme val="minor"/>
    </font>
    <font>
      <u/>
      <color theme="1"/>
      <name val="Arial"/>
      <scheme val="minor"/>
    </font>
    <font>
      <sz val="9.0"/>
      <color theme="1"/>
      <name val="Google Sans Mono"/>
    </font>
    <font>
      <u/>
      <color rgb="FF0000FF"/>
      <name val="Roboto"/>
    </font>
    <font>
      <u/>
      <color rgb="FF0000FF"/>
      <name val="Roboto"/>
    </font>
    <font>
      <u/>
      <color rgb="FF0000FF"/>
      <name val="Roboto"/>
    </font>
    <font>
      <u/>
      <color theme="1"/>
      <name val="Arial"/>
      <scheme val="minor"/>
    </font>
    <font>
      <u/>
      <color rgb="FF0000FF"/>
      <name val="Roboto"/>
    </font>
    <font>
      <u/>
      <color rgb="FF434343"/>
      <name val="Roboto"/>
    </font>
  </fonts>
  <fills count="7">
    <fill>
      <patternFill patternType="none"/>
    </fill>
    <fill>
      <patternFill patternType="lightGray"/>
    </fill>
    <fill>
      <patternFill patternType="solid">
        <fgColor rgb="FFFCE5CD"/>
        <bgColor rgb="FFFCE5CD"/>
      </patternFill>
    </fill>
    <fill>
      <patternFill patternType="solid">
        <fgColor rgb="FFEAD1DC"/>
        <bgColor rgb="FFEAD1DC"/>
      </patternFill>
    </fill>
    <fill>
      <patternFill patternType="solid">
        <fgColor rgb="FFFFF2CC"/>
        <bgColor rgb="FFFFF2CC"/>
      </patternFill>
    </fill>
    <fill>
      <patternFill patternType="solid">
        <fgColor rgb="FFE6B8AF"/>
        <bgColor rgb="FFE6B8AF"/>
      </patternFill>
    </fill>
    <fill>
      <patternFill patternType="solid">
        <fgColor rgb="FFD5A6BD"/>
        <bgColor rgb="FFD5A6BD"/>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shrinkToFit="0" vertical="center" wrapText="0"/>
    </xf>
    <xf borderId="0" fillId="0" fontId="1" numFmtId="165"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2" fontId="1" numFmtId="0" xfId="0" applyAlignment="1" applyFill="1" applyFont="1">
      <alignment readingOrder="0" shrinkToFit="0" vertical="center" wrapText="0"/>
    </xf>
    <xf borderId="0" fillId="0" fontId="6" numFmtId="165"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164" xfId="0" applyAlignment="1" applyFont="1" applyNumberFormat="1">
      <alignment shrinkToFit="0" vertical="center" wrapText="0"/>
    </xf>
    <xf borderId="0" fillId="0" fontId="1" numFmtId="0" xfId="0" applyFont="1"/>
    <xf borderId="0" fillId="0" fontId="1" numFmtId="164" xfId="0" applyFont="1" applyNumberFormat="1"/>
    <xf borderId="0" fillId="3" fontId="1" numFmtId="0" xfId="0" applyAlignment="1" applyFill="1" applyFont="1">
      <alignment readingOrder="0" shrinkToFit="0" vertical="center" wrapText="0"/>
    </xf>
    <xf borderId="0" fillId="4" fontId="1" numFmtId="164" xfId="0" applyAlignment="1" applyFill="1" applyFont="1" applyNumberFormat="1">
      <alignment readingOrder="0" shrinkToFit="0" vertical="center" wrapText="0"/>
    </xf>
    <xf borderId="0" fillId="4" fontId="1" numFmtId="14" xfId="0" applyAlignment="1" applyFill="1" applyFont="1" applyNumberForma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top" wrapText="0"/>
    </xf>
    <xf borderId="0" fillId="0" fontId="1" numFmtId="0" xfId="0" applyAlignment="1" applyFont="1">
      <alignment readingOrder="0" shrinkToFit="0" vertical="top" wrapText="0"/>
    </xf>
    <xf borderId="0" fillId="0" fontId="1" numFmtId="166"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7"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1" numFmtId="0" xfId="0" applyAlignment="1" applyFont="1">
      <alignment readingOrder="0" shrinkToFit="0" vertical="top" wrapText="0"/>
    </xf>
    <xf borderId="0" fillId="0" fontId="1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vertical="top"/>
    </xf>
    <xf borderId="0" fillId="0" fontId="1" numFmtId="0" xfId="0" applyAlignment="1" applyFont="1">
      <alignment readingOrder="0"/>
    </xf>
  </cellXfs>
  <cellStyles count="1">
    <cellStyle xfId="0" name="Normal" builtinId="0"/>
  </cellStyles>
  <dxfs count="14">
    <dxf>
      <font/>
      <fill>
        <patternFill patternType="none"/>
      </fill>
      <border/>
    </dxf>
    <dxf>
      <font/>
      <fill>
        <patternFill patternType="solid">
          <fgColor theme="4"/>
          <bgColor theme="4"/>
        </patternFill>
      </fill>
      <border/>
    </dxf>
    <dxf>
      <font/>
      <fill>
        <patternFill patternType="solid">
          <fgColor rgb="FFCFE2F3"/>
          <bgColor rgb="FFCFE2F3"/>
        </patternFill>
      </fill>
      <border/>
    </dxf>
    <dxf>
      <font/>
      <fill>
        <patternFill patternType="solid">
          <fgColor rgb="FF9FC5E8"/>
          <bgColor rgb="FF9FC5E8"/>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font>
      <fill>
        <patternFill patternType="solid">
          <fgColor rgb="FFEA9999"/>
          <bgColor rgb="FFEA9999"/>
        </patternFill>
      </fill>
      <border/>
    </dxf>
    <dxf>
      <font/>
      <fill>
        <patternFill patternType="solid">
          <fgColor rgb="FFFFE599"/>
          <bgColor rgb="FFFFE599"/>
        </patternFill>
      </fill>
      <border/>
    </dxf>
    <dxf>
      <font>
        <b/>
      </font>
      <fill>
        <patternFill patternType="solid">
          <fgColor rgb="FF93C47D"/>
          <bgColor rgb="FF93C47D"/>
        </patternFill>
      </fill>
      <border/>
    </dxf>
    <dxf>
      <font/>
      <fill>
        <patternFill patternType="solid">
          <fgColor rgb="FFEA9999"/>
          <bgColor rgb="FFEA9999"/>
        </patternFill>
      </fill>
      <border/>
    </dxf>
    <dxf>
      <font/>
      <fill>
        <patternFill patternType="none"/>
      </fill>
      <border/>
    </dxf>
    <dxf>
      <font/>
      <fill>
        <patternFill patternType="solid">
          <fgColor rgb="FFB7E1CD"/>
          <bgColor rgb="FFB7E1CD"/>
        </patternFill>
      </fill>
      <border/>
    </dxf>
    <dxf>
      <font/>
      <fill>
        <patternFill patternType="solid">
          <fgColor rgb="FFD9D2E9"/>
          <bgColor rgb="FFD9D2E9"/>
        </patternFill>
      </fill>
      <border/>
    </dxf>
    <dxf>
      <font/>
      <fill>
        <patternFill patternType="solid">
          <fgColor rgb="FFF4CCCC"/>
          <bgColor rgb="FFF4CCCC"/>
        </patternFill>
      </fill>
      <border/>
    </dxf>
    <dxf>
      <font/>
      <fill>
        <patternFill patternType="solid">
          <fgColor rgb="FFFFF2CC"/>
          <bgColor rgb="FFFFF2CC"/>
        </patternFill>
      </fill>
      <border/>
    </dxf>
  </dxfs>
  <tableStyles count="1">
    <tableStyle count="4" pivot="0" name="Solicitudes de diseñ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'Hoja 1'!$C$2:$C$3</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'Hoja 1'!$B$4:$B$28</c:f>
            </c:strRef>
          </c:cat>
          <c:val>
            <c:numRef>
              <c:f>'Hoja 1'!$C$4:$C$28</c:f>
              <c:numCache/>
            </c:numRef>
          </c:val>
        </c:ser>
        <c:ser>
          <c:idx val="1"/>
          <c:order val="1"/>
          <c:tx>
            <c:strRef>
              <c:f>'Hoja 1'!$D$2:$D$3</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'Hoja 1'!$B$4:$B$28</c:f>
            </c:strRef>
          </c:cat>
          <c:val>
            <c:numRef>
              <c:f>'Hoja 1'!$D$4:$D$28</c:f>
              <c:numCache/>
            </c:numRef>
          </c:val>
        </c:ser>
        <c:ser>
          <c:idx val="2"/>
          <c:order val="2"/>
          <c:tx>
            <c:strRef>
              <c:f>'Hoja 1'!$E$2:$E$3</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'Hoja 1'!$B$4:$B$28</c:f>
            </c:strRef>
          </c:cat>
          <c:val>
            <c:numRef>
              <c:f>'Hoja 1'!$E$4:$E$28</c:f>
              <c:numCache/>
            </c:numRef>
          </c:val>
        </c:ser>
        <c:ser>
          <c:idx val="3"/>
          <c:order val="3"/>
          <c:tx>
            <c:strRef>
              <c:f>'Hoja 1'!$F$2:$F$3</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'Hoja 1'!$B$4:$B$28</c:f>
            </c:strRef>
          </c:cat>
          <c:val>
            <c:numRef>
              <c:f>'Hoja 1'!$F$4:$F$28</c:f>
              <c:numCache/>
            </c:numRef>
          </c:val>
        </c:ser>
        <c:ser>
          <c:idx val="4"/>
          <c:order val="4"/>
          <c:tx>
            <c:strRef>
              <c:f>'Hoja 1'!$G$2:$G$3</c:f>
            </c:strRef>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'Hoja 1'!$B$4:$B$28</c:f>
            </c:strRef>
          </c:cat>
          <c:val>
            <c:numRef>
              <c:f>'Hoja 1'!$G$4:$G$28</c:f>
              <c:numCache/>
            </c:numRef>
          </c:val>
        </c:ser>
        <c:ser>
          <c:idx val="5"/>
          <c:order val="5"/>
          <c:tx>
            <c:strRef>
              <c:f>'Hoja 1'!$H$3:$H$4</c:f>
            </c:strRef>
          </c:tx>
          <c:spPr>
            <a:solidFill>
              <a:schemeClr val="accent6"/>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'Hoja 1'!$B$4:$B$28</c:f>
            </c:strRef>
          </c:cat>
          <c:val>
            <c:numRef>
              <c:f>'Hoja 1'!$H$5:$H$13</c:f>
              <c:numCache/>
            </c:numRef>
          </c:val>
        </c:ser>
        <c:ser>
          <c:idx val="6"/>
          <c:order val="6"/>
          <c:tx>
            <c:strRef>
              <c:f>'Hoja 1'!$I$3:$I$4</c:f>
            </c:strRef>
          </c:tx>
          <c:spPr>
            <a:solidFill>
              <a:schemeClr val="accent1">
                <a:lumOff val="30000"/>
              </a:schemeClr>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'Hoja 1'!$B$4:$B$28</c:f>
            </c:strRef>
          </c:cat>
          <c:val>
            <c:numRef>
              <c:f>'Hoja 1'!$I$5:$I$13</c:f>
              <c:numCache/>
            </c:numRef>
          </c:val>
        </c:ser>
        <c:overlap val="100"/>
        <c:axId val="1814280522"/>
        <c:axId val="2046504340"/>
      </c:barChart>
      <c:catAx>
        <c:axId val="1814280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46504340"/>
      </c:catAx>
      <c:valAx>
        <c:axId val="20465043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4280522"/>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b4a90aef-dffa-47d5-b714-c50576012c76}">
    <Anchor>
      <Comment id="{bbb11502-0426-4575-97cb-bf8f6fcddf0e}"/>
    </Anchor>
    <History>
      <Event time="2026-07-14T19:54:40.00" id="{d46b8140-2a9d-4eaa-9291-6ba39d0b087f}">
        <Attribution userId="placeholder@email.com" userName="Alejandra Medina" userProvider="google-sheets"/>
        <Anchor>
          <Comment id="{bbb11502-0426-4575-97cb-bf8f6fcddf0e}"/>
        </Anchor>
        <Create/>
      </Event>
      <Event time="2026-07-14T19:54:40.00" id="{7e19d695-5779-49eb-980c-06a6299daa19}">
        <Attribution userId="placeholder@email.com" userName="Alejandra Medina" userProvider="google-sheets"/>
        <Anchor>
          <Comment id="{bbb11502-0426-4575-97cb-bf8f6fcddf0e}"/>
        </Anchor>
        <Assign userId="jhernandez1.kromimarket@gmail.com" userName="jhernandez1.kromimarket@gmail.com" userProvider="google-sheets"/>
      </Event>
    </History>
  </Task>
  <Task id="{59654943-cfd4-439e-9ccb-01b71d6900db}">
    <Anchor>
      <Comment id="{1b51ea8d-8551-401d-a682-b2d062d60b57}"/>
    </Anchor>
    <History>
      <Event time="2026-07-17T12:17:00.00" id="{58266201-44bf-4d00-94f8-14638ef9bb98}">
        <Attribution userId="placeholder@email.com" userName="Ricardo Crespo" userProvider="google-sheets"/>
        <Anchor>
          <Comment id="{1b51ea8d-8551-401d-a682-b2d062d60b57}"/>
        </Anchor>
        <Create/>
      </Event>
      <Event time="2026-07-17T12:17:00.00" id="{13919147-4150-4dbc-a82e-3e7c0dc55742}">
        <Attribution userId="placeholder@email.com" userName="Ricardo Crespo" userProvider="google-sheets"/>
        <Anchor>
          <Comment id="{1b51ea8d-8551-401d-a682-b2d062d60b57}"/>
        </Anchor>
        <Assign userId="content.creatorerni@gmail.com" userName="content.creatorerni@gmail.com" userProvider="google-sheets"/>
      </Event>
    </History>
  </Task>
  <Task id="{ba075804-4465-415b-abc9-b5c6a03d1893}">
    <Anchor>
      <Comment id="{20c0d802-4d3b-466d-8797-d2453d221027}"/>
    </Anchor>
    <History>
      <Event time="2026-07-17T12:22:59.00" id="{c9ca5005-2292-4d16-a145-5302e795b134}">
        <Attribution userId="placeholder@email.com" userName="Ricardo Crespo" userProvider="google-sheets"/>
        <Anchor>
          <Comment id="{20c0d802-4d3b-466d-8797-d2453d221027}"/>
        </Anchor>
        <Create/>
      </Event>
      <Event time="2026-07-17T12:22:59.00" id="{e55cf4bb-a621-4c81-9554-42b543da9d34}">
        <Attribution userId="placeholder@email.com" userName="Ricardo Crespo" userProvider="google-sheets"/>
        <Anchor>
          <Comment id="{20c0d802-4d3b-466d-8797-d2453d221027}"/>
        </Anchor>
        <Assign userId="content.creatorerni@gmail.com" userName="content.creatorerni@gmail.com" userProvider="google-sheets"/>
      </Event>
    </History>
  </Task>
  <Task id="{3390e056-7f3e-4f1c-85c1-32882192227b}">
    <Anchor>
      <Comment id="{c18dd2c2-0afb-4f31-b888-858b9799478a}"/>
    </Anchor>
    <History>
      <Event time="2026-07-20T19:46:32.00" id="{83341236-6587-46ff-bc0c-3ba33d792722}">
        <Attribution userId="placeholder@email.com" userName="Ricardo Crespo" userProvider="google-sheets"/>
        <Anchor>
          <Comment id="{c18dd2c2-0afb-4f31-b888-858b9799478a}"/>
        </Anchor>
        <Create/>
      </Event>
      <Event time="2026-07-20T19:46:32.00" id="{03c7ed00-6775-4fb4-b47c-dd1e3e83c676}">
        <Attribution userId="placeholder@email.com" userName="Ricardo Crespo" userProvider="google-sheets"/>
        <Anchor>
          <Comment id="{c18dd2c2-0afb-4f31-b888-858b9799478a}"/>
        </Anchor>
        <Assign userId="content.creatorerni@gmail.com" userName="content.creatorerni@gmail.com" userProvider="google-sheets"/>
      </Event>
    </History>
  </Task>
  <Task id="{01886e20-74f8-4f60-b1e8-c3b36cfc4637}">
    <Anchor>
      <Comment id="{5cee4af0-4209-4b9d-a8e0-9333fae06a5a}"/>
    </Anchor>
    <History>
      <Event time="2026-07-21T18:53:28.00" id="{2778e6dc-ddab-48ad-b882-641288a04287}">
        <Attribution userId="placeholder@email.com" userName="Ricardo Crespo" userProvider="google-sheets"/>
        <Anchor>
          <Comment id="{5cee4af0-4209-4b9d-a8e0-9333fae06a5a}"/>
        </Anchor>
        <Create/>
      </Event>
      <Event time="2026-07-21T18:53:28.00" id="{d0b22d6e-f9a4-470a-a202-4e892df2b0a8}">
        <Attribution userId="placeholder@email.com" userName="Ricardo Crespo" userProvider="google-sheets"/>
        <Anchor>
          <Comment id="{5cee4af0-4209-4b9d-a8e0-9333fae06a5a}"/>
        </Anchor>
        <Assign userId="content.creatorerni@gmail.com" userName="content.creatorerni@gmail.com" userProvider="google-sheets"/>
      </Event>
    </History>
  </Task>
  <Task id="{0631b1fc-715a-4f46-9dc7-001ff4815477}">
    <Anchor>
      <Comment id="{6424eb95-7d6d-4d62-81f5-11d2a71166bf}"/>
    </Anchor>
    <History>
      <Event time="2026-07-21T18:52:32.00" id="{c1bd7ffc-14c1-488b-b31f-eb2191eb4b43}">
        <Attribution userId="placeholder@email.com" userName="Ricardo Crespo" userProvider="google-sheets"/>
        <Anchor>
          <Comment id="{6424eb95-7d6d-4d62-81f5-11d2a71166bf}"/>
        </Anchor>
        <Create/>
      </Event>
      <Event time="2026-07-21T18:52:32.00" id="{7ba3bbb6-3b2d-4d3b-9a49-6bec60628149}">
        <Attribution userId="placeholder@email.com" userName="Ricardo Crespo" userProvider="google-sheets"/>
        <Anchor>
          <Comment id="{6424eb95-7d6d-4d62-81f5-11d2a71166bf}"/>
        </Anchor>
        <Assign userId="content.creatorerni@gmail.com" userName="content.creatorerni@gmail.com" userProvider="google-sheets"/>
      </Event>
    </History>
  </Task>
  <Task id="{8a28fb07-86d8-43ca-b975-d0afcef3d037}">
    <Anchor>
      <Comment id="{0b866d6d-3c4e-48d8-949e-391c7cac8f7d}"/>
    </Anchor>
    <History>
      <Event time="2026-07-29T15:31:39.00" id="{8d12931b-eb93-4c07-8579-0d8ca4cb728c}">
        <Attribution userId="placeholder@email.com" userName="Ricardo Crespo" userProvider="google-sheets"/>
        <Anchor>
          <Comment id="{0b866d6d-3c4e-48d8-949e-391c7cac8f7d}"/>
        </Anchor>
        <Create/>
      </Event>
      <Event time="2026-07-29T15:31:39.00" id="{dc57e89c-d507-4715-b874-4b666bdb6de7}">
        <Attribution userId="placeholder@email.com" userName="Ricardo Crespo" userProvider="google-sheets"/>
        <Anchor>
          <Comment id="{0b866d6d-3c4e-48d8-949e-391c7cac8f7d}"/>
        </Anchor>
        <Assign userId="content.creatorerni@gmail.com" userName="content.creatorerni@gmail.com" userProvider="google-sheets"/>
      </Event>
    </History>
  </Task>
  <Task id="{03e270b2-15bb-419b-85dc-fc755ced43b2}">
    <Anchor>
      <Comment id="{916e7f5d-6fe7-419f-a194-5ebc48eda636}"/>
    </Anchor>
    <History>
      <Event time="2026-09-18T16:16:30.00" id="{e2fecd45-777d-417e-8da2-a58498365f4d}">
        <Attribution userId="placeholder@email.com" userName="Ricardo Crespo" userProvider="google-sheets"/>
        <Anchor>
          <Comment id="{916e7f5d-6fe7-419f-a194-5ebc48eda636}"/>
        </Anchor>
        <Create/>
      </Event>
      <Event time="2026-09-18T16:16:30.00" id="{57ed741d-0347-4e2c-96cf-a16be912c616}">
        <Attribution userId="placeholder@email.com" userName="Ricardo Crespo" userProvider="google-sheets"/>
        <Anchor>
          <Comment id="{916e7f5d-6fe7-419f-a194-5ebc48eda636}"/>
        </Anchor>
        <Assign userId="content.creatorerni@gmail.com" userName="content.creatorerni@gmail.com" userProvider="google-sheets"/>
      </Event>
    </History>
  </Task>
  <Task id="{62813735-cc84-41c6-bbe9-939ba3da7ba9}">
    <Anchor>
      <Comment id="{1200fc92-a82b-4420-82bc-922e9bbe0060}"/>
    </Anchor>
    <History>
      <Event time="2026-08-28T18:43:51.00" id="{4a664f26-4ea3-449d-a3ed-5debbd7e163c}">
        <Attribution userId="placeholder@email.com" userName="Ricardo Crespo" userProvider="google-sheets"/>
        <Anchor>
          <Comment id="{1200fc92-a82b-4420-82bc-922e9bbe0060}"/>
        </Anchor>
        <Create/>
      </Event>
      <Event time="2026-08-28T18:43:51.00" id="{0b0b53e3-0de0-4fee-a0cd-0fc89af6fffc}">
        <Attribution userId="placeholder@email.com" userName="Ricardo Crespo" userProvider="google-sheets"/>
        <Anchor>
          <Comment id="{1200fc92-a82b-4420-82bc-922e9bbe0060}"/>
        </Anchor>
        <Assign userId="content.creatorerni@gmail.com" userName="content.creatorerni@gmail.com" userProvider="google-sheets"/>
      </Event>
    </History>
  </Task>
  <Task id="{f7ae2600-9570-46f9-ad6f-07c27f3bc08b}">
    <Anchor>
      <Comment id="{68202f34-51b7-4ad4-ac6e-b496707dafbf}"/>
    </Anchor>
    <History>
      <Event time="2026-09-14T18:23:34.00" id="{6970c1d2-f2dc-4716-abf4-c2b0c1cec67b}">
        <Attribution userId="placeholder@email.com" userName="Ricardo Crespo" userProvider="google-sheets"/>
        <Anchor>
          <Comment id="{68202f34-51b7-4ad4-ac6e-b496707dafbf}"/>
        </Anchor>
        <Create/>
      </Event>
      <Event time="2026-09-14T18:23:34.00" id="{1143cd79-584c-4be9-9983-7a877e52878a}">
        <Attribution userId="placeholder@email.com" userName="Ricardo Crespo" userProvider="google-sheets"/>
        <Anchor>
          <Comment id="{68202f34-51b7-4ad4-ac6e-b496707dafbf}"/>
        </Anchor>
        <Assign userId="content.creatorerni@gmail.com" userName="content.creatorerni@gmail.com" userProvider="google-sheets"/>
      </Event>
    </History>
  </Task>
  <Task id="{4025a48b-6cca-4ee3-9997-22439d66028c}">
    <Anchor>
      <Comment id="{1d3bbee7-57a9-4696-b761-8ed34a40e56c}"/>
    </Anchor>
    <History>
      <Event time="2026-09-15T12:22:15.00" id="{62343997-982b-48e2-bac5-e1f54bf20472}">
        <Attribution userId="placeholder@email.com" userName="Ricardo Crespo" userProvider="google-sheets"/>
        <Anchor>
          <Comment id="{1d3bbee7-57a9-4696-b761-8ed34a40e56c}"/>
        </Anchor>
        <Create/>
      </Event>
      <Event time="2026-09-15T12:22:15.00" id="{98e81650-3852-46fe-b0c4-b243e155290d}">
        <Attribution userId="placeholder@email.com" userName="Ricardo Crespo" userProvider="google-sheets"/>
        <Anchor>
          <Comment id="{1d3bbee7-57a9-4696-b761-8ed34a40e56c}"/>
        </Anchor>
        <Assign userId="content.creatorerni@gmail.com" userName="content.creatorerni@gmail.com" userProvider="google-sheets"/>
      </Event>
    </History>
  </Task>
  <Task id="{d906631f-d070-4d0a-b03a-48037f1bad30}">
    <Anchor>
      <Comment id="{b0bc6402-39dd-42a2-b7a6-c9d1b707038a}"/>
    </Anchor>
    <History>
      <Event time="2026-10-08T15:26:34.00" id="{fc239633-40d2-4031-a814-afbd5b86e7a0}">
        <Attribution userId="placeholder@email.com" userName="Ricardo Crespo" userProvider="google-sheets"/>
        <Anchor>
          <Comment id="{b0bc6402-39dd-42a2-b7a6-c9d1b707038a}"/>
        </Anchor>
        <Create/>
      </Event>
      <Event time="2026-10-08T15:26:34.00" id="{384e39ac-458f-46b2-961d-838e5ff00436}">
        <Attribution userId="placeholder@email.com" userName="Ricardo Crespo" userProvider="google-sheets"/>
        <Anchor>
          <Comment id="{b0bc6402-39dd-42a2-b7a6-c9d1b707038a}"/>
        </Anchor>
        <Assign userId="content.creatorerni@gmail.com" userName="content.creatorerni@gmail.com" userProvider="google-sheets"/>
      </Event>
    </History>
  </Task>
  <Task id="{32eef946-d894-4044-a586-be428d781ebb}">
    <Anchor>
      <Comment id="{745f9371-fd03-4dd3-8c35-14e97294f880}"/>
    </Anchor>
    <History>
      <Event time="2026-10-08T18:20:21.00" id="{592c7429-3811-45b6-afc5-2c3c4b34870f}">
        <Attribution userId="placeholder@email.com" userName="Ricardo Crespo" userProvider="google-sheets"/>
        <Anchor>
          <Comment id="{745f9371-fd03-4dd3-8c35-14e97294f880}"/>
        </Anchor>
        <Create/>
      </Event>
      <Event time="2026-10-08T18:20:21.00" id="{5846e256-2765-4a64-8486-ab0020f555db}">
        <Attribution userId="placeholder@email.com" userName="Ricardo Crespo" userProvider="google-sheets"/>
        <Anchor>
          <Comment id="{745f9371-fd03-4dd3-8c35-14e97294f880}"/>
        </Anchor>
        <Assign userId="content.creatorerni@gmail.com" userName="content.creatorerni@gmail.com"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13</xdr:row>
      <xdr:rowOff>57150</xdr:rowOff>
    </xdr:from>
    <xdr:ext cx="9391650" cy="51816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Fernando Hernandez" id="{c9e3cdaf-6881-4aa9-b721-a78d212c3e74}" providerId="google-sheets"/>
  <x18tc:person displayName="Ricardo Crespo" id="{d90a9670-4269-44be-9f7f-d786ab9803b8}" providerId="google-sheets"/>
  <x18tc:person displayName="Ernesto Fava" id="{f706a6b7-4c73-4c23-8904-e46e9cbd4804}" providerId="google-sheets"/>
  <x18tc:person displayName="Alejandra Medina" id="{bc002e55-75cc-422a-b0af-b8f154d47d65}" providerId="google-sheets"/>
  <x18tc:person displayName="juan escalona" id="{e52cd5c5-1ecd-47a1-a875-e464ff849ac6}" providerId="google-sheets"/>
  <x18tc:person displayName="content.creatorerni@gmail.com" id="{04ab10db-beb2-4d7d-8c72-75c79fa91207}" userId="content.creatorerni@gmail.com" providerId="google-sheets"/>
  <x18tc:person displayName="jhernandez1.kromimarket@gmail.com" id="{9c1fe75a-b7eb-4432-9d44-bfedae5cb256}" userId="jhernandez1.kromimarket@gmail.com" providerId="google-sheets"/>
  <x18tc:person displayName="fhernandez.kromimarket@gmail.com" id="{c40e17c7-d345-417e-b9f1-e717d0858254}" userId="fhernandez.kromimarket@gmai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69" sheet="Solicitudes de diseño"/>
  </cacheSource>
  <cacheFields>
    <cacheField name="Marca temporal" numFmtId="164">
      <sharedItems containsNonDate="0" containsDate="1" containsString="0" containsBlank="1">
        <d v="2026-07-14T11:24:42Z"/>
        <d v="2026-07-14T11:32:23Z"/>
        <d v="2026-07-14T11:36:32Z"/>
        <d v="2026-07-14T11:59:03Z"/>
        <d v="2026-07-14T14:01:30Z"/>
        <d v="2026-07-16T00:00:00Z"/>
        <d v="2026-07-17T15:08:34Z"/>
        <d v="2026-07-20T14:33:14Z"/>
        <d v="2026-07-21T10:21:03Z"/>
        <d v="2026-07-21T10:24:01Z"/>
        <d v="2026-07-21T14:51:49Z"/>
        <d v="2026-07-22T09:31:26Z"/>
        <d v="2026-07-22T09:50:42Z"/>
        <d v="2026-07-23T14:51:52Z"/>
        <d v="2026-07-23T16:56:04Z"/>
        <d v="2026-07-27T08:16:45Z"/>
        <d v="2026-07-27T08:47:05Z"/>
        <d v="2026-07-27T14:52:42Z"/>
        <d v="2026-07-27T14:56:46Z"/>
        <d v="2026-07-27T15:02:05Z"/>
        <d v="2026-07-28T08:11:28Z"/>
        <d v="2026-07-28T09:55:43Z"/>
        <d v="2026-07-28T16:09:01Z"/>
        <d v="2026-07-29T09:07:15Z"/>
        <d v="2026-07-29T11:30:20Z"/>
        <d v="2026-07-29T12:34:53Z"/>
        <d v="2026-07-29T12:58:45Z"/>
        <d v="2026-07-31T08:54:47Z"/>
        <d v="2026-08-04T09:14:35Z"/>
        <d v="2026-08-04T09:20:51Z"/>
        <d v="2026-08-04T09:21:36Z"/>
        <d v="2026-08-04T13:25:32Z"/>
        <d v="2026-08-04T14:57:19Z"/>
        <d v="2026-08-04T15:46:21Z"/>
        <d v="2026-08-04T16:34:12Z"/>
        <d v="2026-08-04T16:41:10Z"/>
        <d v="2026-08-07T09:35:44Z"/>
        <d v="2026-08-07T10:53:51Z"/>
        <d v="2026-08-11T09:14:51Z"/>
        <d v="2026-08-11T16:39:21Z"/>
        <d v="2026-08-12T08:38:25Z"/>
        <d v="2026-08-12T09:36:21Z"/>
        <d v="2026-08-14T08:09:32Z"/>
        <d v="2026-08-17T12:54:07Z"/>
        <d v="2026-08-24T10:49:14Z"/>
        <d v="2026-08-24T12:13:51Z"/>
        <d v="2026-08-24T14:24:22Z"/>
        <d v="2026-08-24T15:41:32Z"/>
        <d v="2026-08-25T10:06:09Z"/>
        <d v="2026-08-26T14:56:53Z"/>
        <d v="2026-08-27T10:04:37Z"/>
        <d v="2026-08-26T00:00:00Z"/>
        <d v="2026-08-27T11:55:59Z"/>
        <d v="2026-08-27T12:44:09Z"/>
        <d v="2026-08-27T12:48:43Z"/>
        <d v="2026-08-28T08:42:56Z"/>
        <d v="2026-08-31T16:51:35Z"/>
        <d v="2026-09-01T16:33:55Z"/>
        <d v="2026-09-01T16:36:09Z"/>
        <d v="2026-09-03T08:27:58Z"/>
        <d v="2026-09-08T08:07:45Z"/>
        <d v="2026-09-09T08:56:40Z"/>
        <d v="2026-09-09T16:23:46Z"/>
        <d v="2026-09-11T12:37:14Z"/>
        <d v="2026-09-11T12:13:42Z"/>
        <d v="2026-09-11T12:39:57Z"/>
        <d v="2026-09-11T13:04:12Z"/>
        <d v="2026-09-11T13:53:26Z"/>
        <d v="2026-09-11T15:21:13Z"/>
        <d v="2026-09-11T16:49:42Z"/>
        <d v="2026-09-14T10:38:06Z"/>
        <d v="2026-09-14T11:57:11Z"/>
        <d v="2026-09-14T14:20:49Z"/>
        <d v="2026-09-14T15:20:52Z"/>
        <d v="2026-09-14T15:22:06Z"/>
        <d v="2026-09-14T15:32:14Z"/>
        <d v="2026-09-15T12:23:28Z"/>
        <d v="2026-09-15T12:24:10Z"/>
        <d v="2026-09-15T12:26:24Z"/>
        <d v="2026-09-15T13:12:11Z"/>
        <d v="2026-09-15T13:16:38Z"/>
        <d v="2026-09-15T13:20:18Z"/>
        <d v="2026-09-15T13:23:13Z"/>
        <d v="2026-09-15T16:59:27Z"/>
        <d v="2026-09-16T12:39:14Z"/>
        <d v="2026-09-16T14:09:53Z"/>
        <d v="2026-09-16T14:37:33Z"/>
        <d v="2026-09-16T17:00:43Z"/>
        <d v="2026-09-17T08:21:47Z"/>
        <d v="2026-09-17T11:39:02Z"/>
        <d v="2026-09-17T12:29:06Z"/>
        <d v="2026-09-17T12:32:32Z"/>
        <d v="2026-09-17T12:42:26Z"/>
        <d v="2026-09-17T12:48:49Z"/>
        <d v="2026-09-17T16:08:47Z"/>
        <d v="2026-09-16T15:11:29Z"/>
        <d v="2026-09-17T17:00:36Z"/>
        <d v="2026-09-18T08:21:57Z"/>
        <d v="2026-09-18T10:20:21Z"/>
        <d v="2026-09-18T10:22:23Z"/>
        <d v="2026-09-18T16:39:06Z"/>
        <d v="2026-09-18T16:59:58Z"/>
        <d v="2026-09-21T09:19:49Z"/>
        <d v="2026-09-21T11:46:01Z"/>
        <d v="2026-09-21T14:40:57Z"/>
        <d v="2026-09-21T15:53:49Z"/>
        <d v="2026-09-22T09:10:13Z"/>
        <d v="2026-09-22T16:23:51Z"/>
        <d v="2026-09-23T09:26:21Z"/>
        <d v="2026-09-24T09:24:02Z"/>
        <d v="2026-09-25T08:37:07Z"/>
        <d v="2026-09-25T13:51:29Z"/>
        <d v="2026-09-25T14:07:49Z"/>
        <d v="2026-09-25T14:34:33Z"/>
        <d v="2026-10-08T11:06:40Z"/>
        <d v="2026-09-28T10:35:07Z"/>
        <d v="2026-09-28T11:05:05Z"/>
        <d v="2026-09-28T12:30:55Z"/>
        <d v="2026-09-30T09:34:25Z"/>
        <d v="2026-10-01T15:39:31Z"/>
        <d v="2026-10-02T14:49:55Z"/>
        <d v="2026-10-02T14:50:34Z"/>
        <d v="2026-10-02T14:51:28Z"/>
        <d v="2026-10-06T08:14:58Z"/>
        <d v="2026-10-06T09:46:33Z"/>
        <d v="2026-10-06T09:48:30Z"/>
        <d v="2026-10-06T09:51:45Z"/>
        <d v="2026-10-06T16:51:34Z"/>
        <d v="2026-10-07T08:24:07Z"/>
        <d v="2026-09-28T09:17:25Z"/>
        <d v="2026-10-09T08:41:28Z"/>
        <d v="2026-10-09T09:39:06Z"/>
        <d v="2026-10-09T11:46:16Z"/>
        <d v="2026-10-08T11:40:26Z"/>
        <d v="2026-10-13T09:49:39Z"/>
        <d v="2026-10-13T10:51:30Z"/>
        <d v="2026-10-13T16:08:39Z"/>
        <d v="2026-10-13T08:46:58Z"/>
        <d v="2026-10-14T12:39:43Z"/>
        <d v="2026-10-15T14:47:13Z"/>
        <d v="2026-10-20T10:25:16Z"/>
        <d v="2026-07-07T00:00:00Z"/>
        <d v="2026-07-10T00:00:00Z"/>
        <d v="2026-07-14T11:19:35Z"/>
        <d v="2026-07-08T00:00:00Z"/>
        <d v="2026-07-14T13:44:15Z"/>
        <d v="2026-07-14T13:58:56Z"/>
        <d v="2026-07-14T15:50:09Z"/>
        <d v="2026-07-16T09:24:40Z"/>
        <d v="2026-07-16T16:19:39Z"/>
        <d v="2026-07-20T08:15:45Z"/>
        <d v="2026-07-21T14:36:05Z"/>
        <d v="2026-07-21T14:51:25Z"/>
        <d v="2026-07-22T10:28:43Z"/>
        <d v="2026-07-23T08:48:26Z"/>
        <d v="2026-07-23T09:08:33Z"/>
        <d v="2026-07-23T10:17:00Z"/>
        <d v="2026-07-23T12:15:56Z"/>
        <d v="2026-07-27T09:30:15Z"/>
        <d v="2026-07-27T09:32:41Z"/>
        <d v="2026-07-27T10:11:25Z"/>
        <d v="2026-07-27T11:24:47Z"/>
        <d v="2026-07-28T09:40:50Z"/>
        <d v="2026-07-28T12:31:46Z"/>
        <d v="2026-07-29T10:31:19Z"/>
        <d v="2026-07-29T12:46:38Z"/>
        <d v="2026-07-29T16:11:04Z"/>
        <d v="2026-07-29T16:35:52Z"/>
        <d v="2026-07-31T08:26:41Z"/>
        <d v="2026-07-29T16:40:00Z"/>
        <d v="2026-07-31T10:38:51Z"/>
        <d v="2026-08-03T10:08:17Z"/>
        <d v="2026-08-04T09:15:22Z"/>
        <d v="2026-08-04T14:45:25Z"/>
        <d v="2026-08-04T16:05:02Z"/>
        <d v="2026-08-05T14:54:15Z"/>
        <d v="2026-08-06T10:49:40Z"/>
        <d v="2026-08-06T15:22:21Z"/>
        <d v="2026-08-07T14:04:11Z"/>
        <d v="2026-08-10T09:13:41Z"/>
        <d v="2026-08-11T09:12:36Z"/>
        <d v="2026-08-11T09:57:34Z"/>
        <d v="2026-08-12T14:41:12Z"/>
        <d v="2026-08-14T12:05:38Z"/>
        <d v="2026-08-17T09:15:59Z"/>
        <d v="2026-08-17T13:55:21Z"/>
        <d v="2026-08-19T12:10:39Z"/>
        <d v="2026-08-19T15:52:25Z"/>
        <d v="2026-08-19T15:53:47Z"/>
        <d v="2026-08-19T15:55:42Z"/>
        <d v="2026-08-20T08:23:53Z"/>
        <d v="2026-08-20T09:17:04Z"/>
        <d v="2026-08-20T15:20:24Z"/>
        <d v="2026-08-21T09:32:12Z"/>
        <d v="2026-08-21T11:24:00Z"/>
        <d v="2026-08-24T08:10:19Z"/>
        <d v="2026-08-24T10:16:42Z"/>
        <d v="2026-08-24T11:18:38Z"/>
        <d v="2026-08-24T11:20:29Z"/>
        <d v="2026-08-24T14:56:27Z"/>
        <d v="2026-08-24T16:57:13Z"/>
        <d v="2026-08-25T16:11:30Z"/>
        <d v="2026-08-26T14:58:40Z"/>
        <d v="2026-08-27T08:53:07Z"/>
        <d v="2026-08-27T11:41:04Z"/>
        <d v="2026-09-01T16:16:26Z"/>
        <d v="2026-09-01T16:36:54Z"/>
        <d v="2026-09-03T08:26:51Z"/>
        <d v="2026-09-07T10:27:56Z"/>
        <d v="2026-09-07T11:29:05Z"/>
        <d v="2026-09-08T12:03:58Z"/>
        <d v="2026-08-20T00:00:00Z"/>
        <d v="2026-09-09T16:04:29Z"/>
        <d v="2026-09-10T13:21:43Z"/>
        <d v="2026-10-08T08:00:00Z"/>
        <d v="2026-10-19T11:05:02Z"/>
        <d v="2026-10-08T11:33:19Z"/>
        <d v="2026-10-08T14:22:34Z"/>
        <d v="2026-10-08T15:04:11Z"/>
        <d v="2026-10-09T10:54:30Z"/>
        <d v="2026-10-09T11:26:31Z"/>
        <d v="2026-10-09T15:54:25Z"/>
        <d v="2026-10-13T08:13:27Z"/>
        <d v="2026-10-09T12:00:00Z"/>
        <d v="2026-10-14T09:52:00Z"/>
        <d v="2026-10-14T10:32:39Z"/>
        <d v="2026-10-14T11:28:38Z"/>
        <d v="2026-10-14T12:08:25Z"/>
        <d v="2026-10-15T12:39:22Z"/>
        <d v="2026-10-15T14:13:39Z"/>
        <d v="2026-10-15T14:58:30Z"/>
        <d v="2026-10-15T09:32:09Z"/>
        <d v="2026-10-19T14:39:31Z"/>
        <d v="2026-10-20T09:21:33Z"/>
        <d v="2026-10-20T11:37:38Z"/>
        <d v="2026-10-20T12:07:06Z"/>
        <d v="2026-09-22T09:17:15Z"/>
        <d v="2026-09-21T14:45:19Z"/>
        <d v="2026-09-25T08:50:14Z"/>
        <d v="2026-09-24T09:32:35Z"/>
        <d v="2026-09-24T11:00:46Z"/>
        <d v="2026-09-28T12:46:53Z"/>
        <d v="2026-09-29T16:34:18Z"/>
        <d v="2026-10-21T10:03:01Z"/>
        <d v="2026-10-21T10:40:35Z"/>
        <d v="2026-10-21T11:26:28Z"/>
        <d v="2026-10-21T11:32:00Z"/>
        <d v="2026-10-21T11:33:10Z"/>
        <d v="2026-10-22T09:38:53Z"/>
        <d v="2026-10-22T10:05:01Z"/>
        <d v="2026-10-22T15:40:56Z"/>
        <d v="2026-10-23T08:54:36Z"/>
        <d v="2026-10-23T10:06:55Z"/>
        <d v="2026-10-23T14:11:48Z"/>
        <d v="2026-10-26T08:39:41Z"/>
        <d v="2026-10-26T09:02:39Z"/>
        <m/>
      </sharedItems>
      <fieldGroup par="10"/>
    </cacheField>
    <cacheField name="Fecha de entrega" numFmtId="14">
      <sharedItems containsNonDate="0" containsDate="1" containsString="0" containsBlank="1">
        <d v="2026-08-11T00:00:00Z"/>
        <d v="2026-08-07T00:00:00Z"/>
        <d v="2026-09-07T00:00:00Z"/>
        <d v="2026-09-09T00:00:00Z"/>
        <d v="2026-07-20T00:00:00Z"/>
        <d v="2026-07-17T00:00:00Z"/>
        <d v="2026-07-21T00:00:00Z"/>
        <d v="2026-07-24T00:00:00Z"/>
        <d v="2026-08-03T00:00:00Z"/>
        <d v="2026-07-23T00:00:00Z"/>
        <d v="2026-07-30T00:00:00Z"/>
        <d v="2026-07-31T00:00:00Z"/>
        <d v="2026-07-28T00:00:00Z"/>
        <d v="2026-08-05T00:00:00Z"/>
        <d v="2026-08-06T00:00:00Z"/>
        <d v="2026-08-04T00:00:00Z"/>
        <d v="2026-08-10T00:00:00Z"/>
        <d v="2026-08-13T00:00:00Z"/>
        <d v="2026-08-19T00:00:00Z"/>
        <d v="2026-08-14T00:00:00Z"/>
        <d v="2026-08-20T00:00:00Z"/>
        <d v="2026-08-27T00:00:00Z"/>
        <d v="2026-08-28T00:00:00Z"/>
        <d v="2026-08-26T00:00:00Z"/>
        <d v="2026-08-25T00:00:00Z"/>
        <d v="2026-09-01T00:00:00Z"/>
        <d v="2026-09-02T00:00:00Z"/>
        <d v="2026-09-18T00:00:00Z"/>
        <d v="2026-09-10T00:00:00Z"/>
        <d v="2026-09-08T00:00:00Z"/>
        <d v="2026-09-03T00:00:00Z"/>
        <d v="2026-09-11T00:00:00Z"/>
        <d v="2026-09-17T00:00:00Z"/>
        <d v="2026-09-16T00:00:00Z"/>
        <d v="2026-09-23T00:00:00Z"/>
        <d v="2026-09-15T00:00:00Z"/>
        <d v="2026-09-14T00:00:00Z"/>
        <d v="2026-10-01T00:00:00Z"/>
        <d v="2026-09-28T00:00:00Z"/>
        <d v="2026-09-24T00:00:00Z"/>
        <d v="2026-09-29T00:00:00Z"/>
        <d v="2026-09-25T00:00:00Z"/>
        <d v="2026-09-22T00:00:00Z"/>
        <d v="2026-09-21T00:00:00Z"/>
        <d v="2026-09-30T00:00:00Z"/>
        <d v="2026-10-02T00:00:00Z"/>
        <d v="2026-10-09T00:00:00Z"/>
        <d v="2026-10-16T00:00:00Z"/>
        <d v="2026-10-15T00:00:00Z"/>
        <d v="2026-10-07T00:00:00Z"/>
        <d v="2026-10-06T00:00:00Z"/>
        <d v="2026-10-14T00:00:00Z"/>
        <d v="2026-10-20T00:00:00Z"/>
        <d v="2026-10-21T00:00:00Z"/>
        <d v="2026-10-23T00:00:00Z"/>
        <d v="2026-10-13T00:00:00Z"/>
        <d v="2026-10-27T00:00:00Z"/>
        <d v="2026-07-13T00:00:00Z"/>
        <d v="2026-07-15T00:00:00Z"/>
        <d v="2026-07-14T00:00:00Z"/>
        <d v="2026-07-18T00:00:00Z"/>
        <d v="2026-07-27T00:00:00Z"/>
        <d v="2000-07-28T00:00:00Z"/>
        <d v="2026-08-12T00:00:00Z"/>
        <d v="2026-08-17T00:00:00Z"/>
        <d v="2026-08-24T00:00:00Z"/>
        <d v="2026-08-21T00:00:00Z"/>
        <d v="2026-09-04T00:00:00Z"/>
        <d v="2026-10-10T00:00:00Z"/>
        <d v="2026-10-08T00:00:00Z"/>
        <d v="2026-10-19T00:00:00Z"/>
        <d v="2026-10-22T00:00:00Z"/>
        <d v="2026-10-26T00:00:00Z"/>
        <d v="2026-10-29T00:00:00Z"/>
        <d v="2026-10-30T00:00:00Z"/>
        <m/>
      </sharedItems>
      <fieldGroup par="9"/>
    </cacheField>
    <cacheField name="Nombre de arte/flyer" numFmtId="0">
      <sharedItems containsBlank="1">
        <s v="Día Internacional de la Obstetricia y de la Embarazada "/>
        <s v="DIA DE LA VIRGEN DE COROMOTO "/>
        <s v="(FARMACIA) DIA MUNDIAL DE LA FISIOTERAPIA"/>
        <s v="(FARMACIA) DIA MUNDIAL CONTRA LA PREVENCION DEL SUICIDIO "/>
        <s v="Coffee Market"/>
        <s v="Precios de Farmacia"/>
        <s v="Resultado ultimo partido mundial 2026 usando la plantilla existente para los resultados de partido usando como titulo &quot;Ganador del mundo&quot; y omitiendo mensaje de invitación."/>
        <s v="OPOTUNIDAD FARMACIA"/>
        <s v="PRECIOS SAN FELIPE"/>
        <s v="Parrilla · Video carnicería"/>
        <s v="PRECIOS AL MAYOR"/>
        <s v="Mini chef"/>
        <s v="Mini chef - Listado de impresiones"/>
        <s v="PRECIOS FARMACIA"/>
        <s v="Mini Chef - Plantilla patrocinios #1"/>
        <s v="Mini Chef - Inscripciones infografía"/>
        <s v="Mini Chef - Banner Google Forms"/>
        <s v="Mini Chef - Plantilla patrocinios #2"/>
        <s v="Mini Chef - Portada historia destacada"/>
        <s v="Mini Chef - Inscripciones historia"/>
        <s v="Mini Chef - Dinámica"/>
        <s v="¡Feliz semana mundial de la lactancia materna!"/>
        <s v="Preguntas y Respuestas con un Pediatra"/>
        <s v="Mini Chef - Recordando 7ma edición"/>
        <s v="Mini Chef - Cierre de inscripciones"/>
        <s v="jornada de salud"/>
        <s v="Vitamina C + Zinc: El duo perfecto para tus defensas"/>
        <s v="Pasta RUMMO"/>
        <s v="Tortillas Agave"/>
        <s v="Magnesio para el estrés"/>
        <s v="Etiquetas zumos"/>
        <s v="adaptacion del la jornada medica a banner web"/>
        <s v="banner web (PRÓXIMAMENTE NUEVAS JORNADAS MÉDICAS)"/>
        <s v="Reservas por WhatsApp"/>
        <s v="OMEGA 3 Y EL COLESTEROL"/>
        <s v="COLAGENO HIDROLIZADO"/>
        <s v="Habladores tematizado"/>
        <s v="Seleccionados - Mini Chef"/>
        <s v="Carnicería - Para el sabor en casa"/>
        <s v="Regreso a clases y vitamina para los niños"/>
        <s v="Vacante - Enfermera"/>
        <s v="Guia visual de gripe vs resfriado"/>
        <s v="taller de repostería"/>
        <s v="Tensiómetro: Prevención Hoy"/>
        <s v="Solicitud de vacantes"/>
        <s v="PRECIO AL MAYOR"/>
        <s v="Día Mundial de los Primeros Auxilios"/>
        <s v="BANNER REGRESO A CLASES FARMACIA"/>
        <s v="Regreso a clases - Banners web"/>
        <s v="TRAMA DE FRUVER"/>
        <s v="Contenido - Fotoprotector"/>
        <s v="Contenido - Piel seca VS. deshidratada"/>
        <s v="Contenido - 3 Pasos Diarios para tus Riñones"/>
        <s v="Efeméride - Día mundial del Alzheimer"/>
        <s v="HISTORIA IMPUSLO FARMACIA"/>
        <s v="PRECIOS APROVECHA"/>
        <s v="Contenido - Verduras para sopas y guisos"/>
        <s v="parches "/>
        <s v="Evento - Jornada de salud"/>
        <s v="Evento - Taller de masa de hojaldre"/>
        <s v="Evento - Taller de repostería "/>
        <s v="Contenido - Útiles regreso a clases"/>
        <s v="Interno - Fondo de pantallas cáncer de mama"/>
        <s v="Efeméride - Día mundial del corazón"/>
        <s v="Efeméride - Día mundial del farmaceutico"/>
        <s v="Modificar pendon dale peso a tu salud "/>
        <s v="Natulac - Regreso a clases"/>
        <s v="Contenido - Importancia del ácido fólico"/>
        <s v="Contenido - ¿Cuidas bien tus medicamentos?"/>
        <s v="Impresión - Señalización nevera pescadería"/>
        <s v="Efeméride - Día internacional del lenguaje de señas"/>
        <s v="Ofertas - Precios de oportunidad"/>
        <s v="La Monserratina - Carnicería"/>
        <s v="Efeméride - Día Mundial contra la Rabia"/>
        <s v="Dangler Kromi App"/>
        <s v="Concurso Polar - Nevera + Cerveza"/>
        <s v="Conoce nuestros precios"/>
        <s v="Salutación - App Kromi Online"/>
        <s v="Crustissimo - Regreso a clases"/>
        <s v="Precios Aprovecha - Especial Vinos"/>
        <s v="Avatar - Cáncer de mama"/>
        <s v="Efeméride - Día del turismo"/>
        <s v="Precios Aprovecha - Especial Parrillero"/>
        <s v="Vacantes - Búsqueda de personal"/>
        <s v="Precios de Oportunidad"/>
        <s v="Evento - Ruta del café"/>
        <s v="Evento - ¡Llega el Oktoberfest a nuestras tiendas!"/>
        <s v="Evento - Tu taza, tu brillo"/>
        <s v="C99  Contenido - ¿Cuidas bien tus medicamentos?"/>
        <s v="Salutacion - Día Mundial de la Alimentación"/>
        <s v="Salutacion - Día Mundial de la Lucha contra el Cáncer de Mama"/>
        <s v="Evento - Dia Producto Fitosana"/>
        <s v="Sorteo - Mavesa + Harina P.A.N "/>
        <s v="PRECIOS CONOCE "/>
        <s v="Vacantes - Analista de Nómina"/>
        <s v="Vacante - Analista de Seguridad y Salud Laboral"/>
        <s v="Vacante - Enfermera Ocupacional"/>
        <s v="Contenido - Dialogo Interno (Psicologa)"/>
        <s v="Evento - PINTA TERROR KROMI"/>
        <s v="resultados encuentro deportivo"/>
        <s v="Contenido - Como llegar a San Felipe"/>
        <s v="Contenido - Importancia del acido folico"/>
        <s v="Contenido - Habitos que cuidan tu salud mamaria"/>
        <s v="Contenido - Guía del Autoexamen Mamario"/>
        <s v="Promo - Santa Teresa"/>
        <s v="Evento - Oktober Fest Trigal Sur"/>
        <s v="Empezaron las vacaciones"/>
        <s v="Empezaron las vacaciones (Frutas)"/>
        <s v="Patrocinio Yolo"/>
        <s v="Día del niño"/>
        <s v="Mini chef "/>
        <s v="Banner carnicería para web"/>
        <s v="Tapa cierre día del niño"/>
        <s v="VIDEO DÍA DEL NIÑO"/>
        <s v="Vacaciones escolares"/>
        <s v="Cambios - App Kromi"/>
        <s v="Correciones - Pared Kromi Online Mañongo"/>
        <s v="App Kromi Online"/>
        <s v="Mini Chef - Banner web principal #1"/>
        <s v="Tarjeta Farmacia"/>
        <s v="Precios Aprovecha - Especial Charcutería"/>
        <s v="Mini Chef - Anuncio"/>
        <s v="Mini Chef - Inscripciones"/>
        <s v="TARJETA FARMACIAS (TRIGAL NORTE, SUR, MAÑONGO Y PREBO)"/>
        <s v="Kromi News"/>
        <s v="3 beneficios de la vitamina d3"/>
        <s v="¡3 Consejos para tu Lactancia!"/>
        <s v="Mini Chef - Banner web principal #3"/>
        <s v="Mini Chef - Nostalgia"/>
        <s v="Mini Chef - Últimos cupos disponibles"/>
        <s v="MARCO CONDUCTA POSITIVA ✨"/>
        <s v="Yoia 10% de descuento"/>
        <s v="Concurso - Mes del huevo"/>
        <s v="Jornada de captación"/>
        <s v="¡Complejo B y el Cerebro!"/>
        <s v="RECIPE MEDICO GUIADO"/>
        <s v="ADAPTACION ARTE 6PACK HUEVOS"/>
        <s v="Día de la cerveza"/>
        <s v="Mucomaxplus Kimiceg"/>
        <s v="FEBRILIX GRIP KIMICEG"/>
        <s v="AVISO CARRITOS FARMACIA FITOSANA"/>
        <s v="APROVECHA"/>
        <s v="Veropan"/>
        <s v="Café 1783 Branger"/>
        <s v="precios al mayor valencia "/>
        <s v="precios farmacia "/>
        <s v="Precios oportunidad San felipe "/>
        <s v="Vacante de empleos "/>
        <s v="Precios de oportunidad valencia "/>
        <s v="Etiqueta para contenedores "/>
        <s v="parches de lonas, huevo $1.98, harina pan $1.07"/>
        <s v="Precios aprovecha "/>
        <s v="ALIMENTACIÓN CON SUPLEMENTOS"/>
        <s v="HABLADORES TEMATICOS"/>
        <s v="Balsader Pomada KIMICEG"/>
        <s v="NO MEZCLAR ANTIFLAMATORIOS"/>
        <s v="JORNADA: &quot;Dale peso a tu salud&quot;"/>
        <s v="Carnicería - Ideas para sopas y guisos"/>
        <s v="TABLOIDES CONDUCTA POSITIVA"/>
        <s v="Review #1 - Mini Chef"/>
        <s v="Agradecimiento mini chef"/>
        <s v="Precios aprovecha - Charcutería"/>
        <s v="Salud digestiva y probióticos en cápsulas"/>
        <s v="Habladores temáticos - Vino"/>
        <s v="5 esenciales para tu kit de primeros auxilios"/>
        <s v="Día del chocolate"/>
        <s v="Evento - Dulce sorpresa te espera"/>
        <s v="Salutacion - Dia mundial de la salud mental"/>
        <s v="Salutacion Redes - Dia Mundial de la Salud Mental"/>
        <s v="Sorteo - Ganador Rikesa"/>
        <s v="Sorteo - Ganador Limpia Sol"/>
        <s v="Día de la Resistencia Indígena"/>
        <s v="Zulia - Cerveza"/>
        <s v="Cofasa Cardiologo"/>
        <s v="RB MEDICAL- COJIN ORTOPEDICO"/>
        <s v="Yolo - Yolo Snacks"/>
        <s v="RB MEDICAL -  Nebulizador "/>
        <s v="Contenido - App Kromi"/>
        <s v="Tío Rico - Modificación de arte"/>
        <s v="Contenido - Atencion del Cliente"/>
        <s v="VI CONCURSO HALLOWEEN"/>
        <s v="Ofertas - Especial Mexicano"/>
        <s v="Contenido - Somos tu Equipo"/>
        <s v="Yogures Yoia - Descuento 10%"/>
        <s v="Contenido Guía del Autoexamen Mamario"/>
        <s v="Evento - Oktober Fest"/>
        <s v="Contenido ¡Kit para tu bienestar rosa!"/>
        <s v="Contenido - Dial mundial de la Nutricion"/>
        <s v="Charla - emociones de colores "/>
        <s v="Efémeride - Día Mundial de la Alimentación"/>
        <s v="Contenido - RB MEDICAL Tensiometros"/>
        <s v="ESTIMADO TRANSPORTISTA por favor estacionarse únicamente en la acera de Kromi. "/>
        <s v="Tío Rico - 30% de descuento"/>
        <s v="OCTUBRE Creciendo Juntos&quot;"/>
        <s v="Interno - Muestra separador de pasillo"/>
        <s v="Eventos - Fusión a Ciegas: Café y Cacao con chocolates 20/20 "/>
        <s v="Impresión - Kromi Fresh"/>
        <s v="Interno - Invitación encuentro deportivo"/>
        <s v="Simulacro de emergencia"/>
        <s v="Evento - Jornada de adopción"/>
        <s v="Efeméride - Día Mundial de los Animales"/>
        <s v="Regional - Cervezas"/>
        <s v="Heinz - Presentación de 4"/>
        <s v="Plantilla - Especial embutidos"/>
        <s v="Monserratina"/>
        <s v="Navidad - Banners categorías"/>
        <s v="Navidad - Banner principal web"/>
        <s v="Navidad - Avatar Kromi"/>
        <s v="inauguración navidad "/>
        <s v="Inauguración de la navidad"/>
        <m/>
      </sharedItems>
    </cacheField>
    <cacheField name="¿Qué se quiere lograr con esta pieza?" numFmtId="0">
      <sharedItems containsBlank="1">
        <s v="https://trello.com/c/T5wd5eSK/417-d%C3%ADa-internacional-de-la-obstetricia-y-de-la-embarazada"/>
        <s v="https://trello.com/c/oQ1cUVqF/418-dia-de-la-virgen-de-coromoto"/>
        <s v="https://trello.com/c/KbZursoC/419-dia-mundial-de-la-fisioterapia"/>
        <s v="https://trello.com/c/TWjoyz7R/420-d%C3%ADa-mundial-para-la-prevenci%C3%B3n-del-suicidio"/>
        <s v="https://trello.com/c/ZtX4pex9/423-coffee-market"/>
        <s v="Ofertas de farmacia enviadas por correo"/>
        <s v="Plantilla actualizada del partido Argentina vs. España"/>
        <s v="PRECIOS DE FAMRACIA ENVIADOS POR DAVID"/>
        <s v="PRECIOS SAN FELIPE"/>
        <s v="https://trello.com/c/Uip6KJkP/424-parrilla"/>
        <s v="PRECIOS AL MAYOR"/>
        <s v="impresiones "/>
        <s v="ALLI SE DETALLA CADA PIEZA QUE SE NECESITA  &#10;&#10;https://docs.google.com/spreadsheets/d/1OWZ0rCI3rZY-BkMUpP8CddOPDu9GvZlL/edit?usp=sharing&amp;ouid=115859473630528259469&amp;rtpof=true&amp;sd=true"/>
        <s v="PRECIOS FARMACIA"/>
        <s v="https://trello.com/c/mx1u4kLO/1-arte-patrocinios-feed-1"/>
        <s v="https://trello.com/c/IwQXAGB8/10-incripciones"/>
        <s v="https://trello.com/c/AWhboPYQ/35-inscripciones-forms"/>
        <s v="https://trello.com/c/kNOi25ol/2-arte-patrocinios-feed-2"/>
        <s v="https://trello.com/c/gHpxwxfD/23-portada-historia-destacada"/>
        <s v="https://trello.com/c/Z7walo75/18-info-inscripciones"/>
        <s v="https://trello.com/c/PYNiq0kM/9-din%C3%A1mica-mini-chef"/>
        <s v="https://trello.com/c/Jlm2Avne/427-feliz-semana-de-la-lactancia-mundial"/>
        <s v="https://trello.com/c/8tlTl87y/428-preguntas-y-respuestas-con-un-pediatra"/>
        <s v="https://trello.com/c/ghIhFnQ8/4-recordando-7ma-edici%C3%B3n"/>
        <s v="https://trello.com/c/qUW4BzV0/36-cierre-inscripciones"/>
        <s v="Ofertas de farmacia del 31 de julio al 04 de agosto"/>
        <s v="Jueves 20 jornada de salud con el internista Fremig Isaí Camacho paredes M.P.P.S: 129996 CMY:4531. despistaje de glicemia, toma de presion arterial y medicina general  cupos limitados a las 9:00 am."/>
        <s v="https://trello.com/c/NEtMvODD"/>
        <s v="https://trello.com/c/R2xzK4dX/431-pasta-rummo"/>
        <s v="https://trello.com/c/Fffz9oHd/433-tortillas-tostadas"/>
        <s v="https://trello.com/c/OI1u1WDG/436-magnesio-para-el-estr%C3%A9s"/>
        <s v="Adaptar el tamaño de las etiquetas"/>
        <s v="adaptacion del la jornada medica 20 de agosto a banner web"/>
        <s v="https://trello.com/c/UJpegRuE"/>
        <s v="https://trello.com/c/W8SNFWD9/1-servicio-whatsapp"/>
        <s v="https://trello.com/c/YIfmMZ8y"/>
        <s v="https://trello.com/c/zsz7Ahse/454-col%C3%A1geno-hidrolizado"/>
        <s v="Adaptación de plantillas a habladores"/>
        <s v="https://trello.com/c/Kkqu9IBc/39-seleccionados"/>
        <s v="https://trello.com/c/yoSaKryc/2-para-el-sabor-de-casa"/>
        <s v="https://trello.com/c/5LZVQLHU"/>
        <s v="Enfermera ocupacional:&#10;Competencias Técnicas: &#10;•        Educación Formal :Egresado Universitario de carrera larga Licenciado en Enfermería o TSU en Enfermería con diplomado en Salud Ocupacional.&#10;•        Experiencia: 4 años realizando procesos similares.&#10;"/>
        <s v="https://trello.com/c/jeOtZFy5"/>
        <s v="viernes 25 de septiembre taller de repostería  torta red velvet  (receta y técnicas para la preparación) a cargo de @artesasaresposteria.sf por inscripción para 25 participantes  10 de la mañana"/>
        <s v="jueves 18 jornada de salud pediátrica con la doctora carolina mendez  CMY:2774,  MPPS: 70406 a las 9 de la mañana cupos limitados &#10;jornada gratuita "/>
        <s v="https://trello.com/c/2iGkciAx"/>
        <s v="Comercializadora Kromi Market:&#10;• AUXILIAR DE CAJA. &#10;• AYUDANTE OPERATIVO INTEGRAL  ( CHARCUTERIA -VIVERES-FRUVER)&#10;• AUXILIAR DE PCP.&#10;• ELECTROMECANICO.&#10;• ANALISTA DE VENTAS EN LINEA. &#10;• ANALISTA DE SEGURIDAD Y SALUD LABORAL.&#10;• ANALISTA DE ADMINISTRACION D"/>
        <s v="PRECIO AL MAYOR"/>
        <s v="https://trello.com/c/fpgKbGo8"/>
        <s v="https://trello.com/c/TqQdpJkF/465-banner-regreso-a-clases-farmacia"/>
        <s v="https://trello.com/c/TqQdpJkF"/>
        <s v="https://trello.com/c/oKNxw6dJ/1-banners-secundarios-5-piezas"/>
        <s v="ROTULAR EL LATERAL DE UNA DE LAS NEVERAS"/>
        <s v="https://trello.com/c/BXdi8VI1/463-fotoprotecci%C3%B3n"/>
        <s v="https://trello.com/c/us1iOick"/>
        <s v="https://trello.com/c/A680bVpO/464-salud-renal"/>
        <s v="https://trello.com/c/rdlzTsqK"/>
        <s v="https://trello.com/c/r9QyZ2i0/471-impulso-living"/>
        <s v="PRECIOS APROVECHA"/>
        <s v="https://trello.com/c/gBb4NOSw/1-sopas-y-guisos"/>
        <s v="https://trello.com/c/V6LUdQXz"/>
        <s v="costilla de res $4.60, huevo 15 unidades $3.24 &#10;"/>
        <s v="viernes 16 de octubre jornada de salud, toma de la presión arterial, despistaje de glicemia y medicina general con el Dr Fremig Camacho médico internista MPPS:129996 CMY: 4531"/>
        <s v="viernes 23 octubre   taller de masa de hojaldre  preparación de milhojas  a cargo de  @artesanoreposteria.sf  a las 10 de la mañana en tienda san felipe para 30 participantes "/>
        <s v="viernes 30 de octubre  taller repostería  preparación   brownie   de   a cargo de  @artesanoreposteria.sf  a las 10 de la mañana en tienda san felipe para 30 participantes "/>
        <s v="https://trello.com/c/gMUaLRCQ/2-carrusel-%C3%BAltiles"/>
        <s v="CAMBIAR LOS FONDOS DE PANTALLA"/>
        <s v="https://trello.com/c/HXVDq4zL"/>
        <s v="https://trello.com/c/2qhS9ZJW"/>
        <s v="hacer cambios en las fechas y colocar una persona haciendo ejercicios "/>
        <s v="https://trello.com/c/VUBm7S91/3-natulac"/>
        <s v="https://trello.com/c/i2Cgn3iu"/>
        <s v="https://trello.com/c/DtBJnp0Z"/>
        <s v="Adaptar el arte ya existente de Autoservicio Pescadería a una medida de 1.9m de ancho x 30 cm de alto. Deja una holgura de 1 cm por favor. "/>
        <s v="https://trello.com/c/4WSQbW7c/474-d%C3%ADa-del-lenguaje-de-se%C3%B1as"/>
        <s v="Ofertas del 18 al 20 de septiembre"/>
        <s v="https://trello.com/c/QJiFRaD7/7-la-monserratina"/>
        <s v="https://trello.com/c/2wpLSMvS/450-d%C3%ADa-mundial-contra-la-rabia"/>
        <s v="Cambiar el QR por el generado ya"/>
        <s v="https://trello.com/c/K35wefxR/476-concurso-polar"/>
        <s v="Ofertas del día viernes 18 de septiembre"/>
        <s v="Adaptar arte de la pared de Kromi Online para correo interno cambiando el titulo &quot;Ya tenemos App&quot;"/>
        <s v="https://trello.com/c/SjsbCyBM/4-crustissimo"/>
        <s v="Ofertas de la semana del 21 al 24 de septiembre"/>
        <s v="Avatar del mes del cáncer de mama para perfil de redes sociales."/>
        <s v="https://trello.com/c/wbPWYstq/480-d%C3%ADa-del-turismo"/>
        <s v="Ofertas de la semana del 28 de septiembre al 1ero de octubre"/>
        <s v="Solicitud de Ayurami a Alejandra para post de búsqueda de personal"/>
        <s v="Ofertas del 25 al 27 de septiembre"/>
        <s v="RUTA DEL CAFÉ&#10;¡Celebremos juntos el Día Internacional del Café!&#10;&#10;Ven a vivir una experiencia llena de aroma, sabor y sorpresas especialmente para ti.&#10;01 de octubre&#10;11:00 a.m.&#10;&#10;• Prebo – café Anzoátegui &#10;• Mañongo – Nuovo luna&#10;&#10;¡Acércate a nuestras tiendas"/>
        <s v="¡Llega el Oktoberfest a nuestras tiendas!&#10;Festival de la cerveza y parrilla &#10;&#10;Sello de Calidad (Destacado):  PRODUCTOS 100% CALIDAD KROMI &#10;&#10;09 DE OCTUBRE – PREBO&#10;16 DE OCTUBRE -MAÑONGO&#10;23 DE OCTUBRE-TRIGAL SUR&#10;30 DE OCTUBRE -TRIGAL NORTE&#10;&#10;3:00PM &#10;EVENTO G"/>
        <s v="MES ROSA&#10;TU TAZA, TU BRILLO&#10;&#10;Dale un toque único a tu taza de café mientras celebramos la vida&#10;Con @arteymeriendita&#10;&#10;15 DE OCTUBRE &#10;TIENDA MAÑONGO &#10;3:00PM&#10;&#10;50 CUPOS &#10;INSCRIBETE YA LINK EN BIO &#10;NOS COMUNICAREMOS VÍA WHATSAPP CON LOS SELECCIONADOS&#10;&#10;Logos ag"/>
        <s v="https://trello.com/c/LV7R8O8a"/>
        <s v="https://trello.com/c/5VaZvHtk"/>
        <s v="https://trello.com/c/vQZGNRSl"/>
        <s v="carnes de res molida $5&#10;aceite vatel vegetal $3.46&#10;pollo entero $2.85&#10;harina pan $1.05"/>
        <s v="Agregar isotipo del logo Kromi"/>
        <s v="Ofertas del fin de semana del viernes 02 al domingo 04 de octubre 2026"/>
        <s v="PRECIOS CONOCE "/>
        <s v="Analista de Nómina y Administración de Personal.&#10;- Educación Formal:&#10;Egresado Universitario de carrera larga; Licenciado en Relaciones Industriales, Recursos Humanos o carrera corta TSU en Relaciones Industriales o carrera afín.&#10;- Experiencia:&#10;2 años real"/>
        <s v="Analista de Seguridad y salud Laboral.&#10;- Educación Formal: &#10;Egresado Universitario de carrera larga, Licenciado en Administración de Desastres o de carrera corta TSU Seguridad y Salud Laboral o carrera afín.&#10;- Experiencia:&#10;2 años realizando procesos simil"/>
        <s v="Enfermera Ocupacional. &#10;- Educación Formal:&#10;Egresado Universitario de carrera larga Licenciado en Enfermería o TSU en Enfermería con diplomado en Salud Ocupacional y registrada en Inpsasel preferiblemente. &#10;- Experiencia:&#10;4 años realizando procesos simila"/>
        <s v="https://trello.com/c/2UJbhqyM"/>
        <s v="ACTIVIDAD: PINTACARITAS (PINTATERROR KROMI)&#10;&quot;Este 31 de octubre, la magia de halloween llega a Kromi market&quot;&#10;Ven hacer tus compras y diviertete con nuestro evento especial de Pintacaritas de halloween para toda la familia&quot; !te esperamos!&#10;&#10;SEDES: TRIGAL SU"/>
        <s v="Dar a conocer los resultados de los juegos deportivos"/>
        <s v="https://trello.com/c/HDDKAC3X/489-como-llegar-a-la-tienda-san-felipe"/>
        <s v="https://kromi-connect.vercel.app/"/>
        <s v="https://kromi-connect.vercel.app"/>
        <s v="https://trello.com/c/cj6TNAXm"/>
        <s v="https://trello.com/c/QNjGtf6x"/>
        <s v="Agregar logo de Kromi Market o isotipo del logo en diseños dados por el proveedor&#10;https://drive.google.com/drive/folders/1DgIJr19-detupM3go8dXiKArgqKu8DGg?usp=drive_link"/>
        <s v="Modificar pieza, eliminar &quot;Prebo 09&quot; para colocar en grande &quot;Trigal Sur 23&quot;"/>
        <s v="https://trello.com/c/1MhM9Yb9/405-llegaron-las-vacaciones"/>
        <s v="https://trello.com/c/3Lmokt43/413-frutas"/>
        <s v="https://trello.com/c/fpgKbGo8/421-d%C3%ADa-mundial-de-los-primeros-auxilios"/>
        <s v="https://trello.com/c/OWnY05oJ/409-d%C3%ADa-del-ni%C3%B1o"/>
        <s v="video de patrocinantes mini chef "/>
        <s v="https://trello.com/c/sGN0Kgwf/412-banner-grande-secci%C3%B3n-2"/>
        <s v="https://trello.com/c/oLTxcf6k/422-d%C3%ADa-del-ni%C3%B1o-casa-hogar"/>
        <s v="RESUMEN DE L ACATIVIDAD CON LA CASA HOGAR "/>
        <s v="Ofertas del fin de semana"/>
        <s v="https://trello.com/c/WEEGhAWw/410-banner-principal"/>
        <s v="Ofertas de la semana"/>
        <s v="- Eliminar sección &quot;Tus favoritos de siempre&quot; para ahorrar tiempo de video&#10;- Agregar método de pago &quot;Tarjeta de crédito&quot; con sub texto &quot;Ciertas condiciones aplican&quot;&#10;- Agregar texto &quot;Descárgala ya&quot; al final del video&#10;- Agregar código QR que lleva a la Play"/>
        <s v="El texto en este arte debe ubicarse por encima de la mitad, es decir, en Kromi Online este diseño se colocará detrás del mostrador de atención al cliente, no dejando ver el texto que se posiciona en la mitad inferior del arte."/>
        <s v="- Banner principal: escritorio (1920 x 400 px) móvil (1080 x 500 px)&#10;- Banner secundario: escritorio (1920 x 100 px) móvil (1080 x 150 px)"/>
        <s v="Ofertas de jueves 23 a domingo 26"/>
        <s v="https://trello.com/c/XCQHe0io/26-banner-web-8va-edici%C3%B3n"/>
        <s v="precios de oportunidades "/>
        <s v="Ofrecerle a los clientes número de contacto directo y presupuestos a los clientes"/>
        <s v="Ofertas de la semana del lunes 27 al jueves 30 de julio"/>
        <s v="https://trello.com/c/ksrp6cjj/3-anuncio-8va-edici%C3%B3n"/>
        <s v="https://trello.com/c/EW4ccUIJ/24-inscripciones"/>
        <s v="Mejorar la imagen de las tarjetas e impulsar el whatsapp"/>
        <s v="Periódico interno"/>
        <s v="https://trello.com/c/Zmkn7H62"/>
        <s v="https://trello.com/c/w1fH7rHo/426-3-consejos-para-tu-lactancia"/>
        <s v="https://trello.com/c/q5zetvbs/28-banner-web-evento-mini-chef"/>
        <s v="https://trello.com/c/fMHLShvu/15-mi-experiencia"/>
        <s v="https://trello.com/c/3WG8FPKE/17-%C3%BAltimos-cupos-disponibles"/>
        <s v="refrescar diseño al marco"/>
        <s v="Ofertas enviadas por compras para publicar el 31 de julio hasta el 02 de agosto"/>
        <s v="Historia ofertando toda la línea de helados Yoia"/>
        <s v="Puede ser con estilo de su presentación, pero con nuestros colores.&#10;&#10;​¡PARTICIPA POR UN INCREÍBLE PREMIO!&#10;​⭐ Un año gratis de proteína de Huevos El Tunal&#10;​⬇️ ¿Sabes cómo participar?&#10;​🔹 Seguir las cuentas @KromiMarket y @HuevosElTunal.&#10;🔹 Darle like a est"/>
        <s v="Ofertas del lunes 03 al jueves 06 de agosto"/>
        <s v="Solicitud de selección para un flyer para una jornada de captación programada para el martes 11 de agosto de 8:00 am a 2:00 pm.&#10;&#10;Último arte realizado&#10;https://www.instagram.com/p/DYFT8YTIAVW/?utm_source=ig_web_copy_link&amp;igsh=MzRlODBiNWFlZA=="/>
        <s v="https://trello.com/c/ekCvJyMV"/>
        <s v="https://trello.com/c/u6kJiVp2/437-recipe-medico-guiado"/>
        <s v="Adaptar el arte de historias a CARTA Y OFICIO"/>
        <s v="Ofertas del fin de semana del viernes 07 al domingo 09"/>
        <s v="https://trello.com/c/pSWjdNeU/438-d%C3%ADa-de-la-cerveza-polar"/>
        <s v="Ofertas de la semana del lunes 10 al jueves 13 de agosto"/>
        <s v="https://trello.com/c/8Ddlmh07"/>
        <s v="https://trello.com/c/pyH0YB7v/443-febrilix-grip-kimiceg"/>
        <s v="LETRETO DE CARRITOS DENTRO DE TIENDA PAGO POR FITOSANA"/>
        <s v="Ofertas del fin de semana desde el 14 al 16 de agosto"/>
        <s v="APROVECHA"/>
        <s v="https://trello.com/c/ITP8XEPk/451-veropan"/>
        <s v="Historias para impulso de la marca "/>
        <s v="Publicacion RRSS"/>
        <s v="publicación RRSS"/>
        <s v="publicaciones RRSS"/>
        <s v="Publicación en RRSS"/>
        <s v="para uso de caja secreta"/>
        <s v="precios de oportunidad "/>
        <s v="Informar al personal"/>
        <s v="https://trello.com/c/ZJfy9U6r/453-suplementos-vs-alimentos"/>
        <s v="Adaptar las plantillas temáticas según la programación de aprovecha a formato horizontal para habladores de precio 1/4 carta"/>
        <s v="https://trello.com/c/8RQcgSiH"/>
        <s v="https://trello.com/c/CuckNy6B/456-no-mesclar-antiflamatorios"/>
        <s v="Interno "/>
        <s v="https://trello.com/c/sWyhLNbP/3-ideas-para-guisos"/>
        <s v="Mostrar al personal quienes ganaron las conductas este trimestre"/>
        <s v="Ofertas del 28 al 30 de agosto"/>
        <s v="https://trello.com/c/sFLTPL8G/5-review-1-equipos"/>
        <s v="Ofertas del 4 al 6 de septiembre"/>
        <s v="Agradecemos su apoyo en la realizacion de la 8va edicion del mini chef kromi market , Su respaldo como aliados comerciales afianxza nuestro compromiso "/>
        <s v="Ofertas del lunes 07 al jueves 10 de especial de charcutería."/>
        <s v="https://trello.com/c/4C0WFdUG"/>
        <s v="Habladores temáticos para los Precios Aprovecha - Adelantos"/>
        <s v="https://trello.com/c/aUxSQTcL"/>
        <s v="https://trello.com/c/p0JCuj49/462-d%C3%ADa-del-chocolate"/>
        <s v="!UNA DULCE SORPRESA TE ESPERA!&#10;&#10;VISITANOS EN KROMI MARKET Y DISFRUTA DE UNA DEGUSTACION DE DULCES POR EL DIA DE HALLOWEEN.&#10;&#10;FECHA: SABADO 31 DE OCTUBRE DEL 2026&#10;SEDES: PREBO/MAÑONGO&#10;HORA:  A PARTIR 4:00PM"/>
        <s v="https://trello.com/c/uUlYcxe7"/>
        <s v="https://trello.com/c/QM8wyWvw"/>
        <s v="Diseño basado en post de sorteo de Rikesa para anunciar ganadores (2)"/>
        <s v="Diseño basado en post de sorteo de Limpia Sol para anunciar ganador (1)"/>
        <s v="1. Encabezado&#10;12 DE OCTUBRE&#10;Día de la Resistencia Indígena&#10;&#10;2. Mensaje Institucional Central&#10;Honramos las raíces, la diversidad y el legado de nuestros pueblos originarios que enriquecen la identidad de nuestra tierra.&#10;&#10;3. Bloque Informativo de Servicio&#10;H"/>
        <s v="https://drive.google.com/drive/folders/1qP3SQ2d9aEuz3B1zvsH5Oa5X_AtZy7ZW?usp=drive_link"/>
        <s v="https://trello.com/c/ltnSm5jt"/>
        <s v="https://trello.com/c/DeRJRheU"/>
        <s v="Conservar imagen en su mayoría, solo agregando pequeños detalles gráficos como los textos &quot;Nuevo&quot;, &quot;Hasta agotar existencias&quot; y &quot;¡Ven por el tuyo!&quot;. Incluir RIF J-30714575-7&#10;&#10;Material:&#10;https://drive.google.com/drive/folders/1tf06z0dhBIjYSU5-WkYKPVHvTprqVZ"/>
        <s v="https://trello.com/c/eYYfpZYW"/>
        <s v="Ofertas del fin de semana desde el viernes 09 al domingo 11 de octubre"/>
        <s v="https://trello.com/c/XZNut7n7/501-kromi-app"/>
        <s v="Eliminar 2x1 y cambiar el precio $8,99 a $9,99 (Precio con IVA incluido)"/>
        <s v="https://trello.com/c/vlXFslZb"/>
        <s v="Anunciar el concurso de cajeros (detalles y fechas en Correo)"/>
        <s v="Ofertas de la semana del martes 13 al jueves 15 de octubre"/>
        <s v="https://trello.com/c/frvyCZ0v"/>
        <s v="Modificación de historia con 10% de descuento en su línea en las tiendas Prebo y Guataparo"/>
        <s v="Con fecha para el viernes 16 de octubre se necesita realizar cambios en el arte ya existente como la mención de Dj, premiaciones, show parrillero y más."/>
        <s v="https://trello.com/c/8ZdKKGye"/>
        <s v="https://trello.com/c/zitm74oJ"/>
        <s v="MES ROSA &#10;EMOCIONES DE COLORES &#10;&#10;Una experiencia de salud integral para la mujer &#10;&#10;Laboratorios – marcas con propósito – Premios y sorpresas &#10;&#10;Exponentes &#10;Dra. Wilbeth Amaya – Ginecóloga&#10;Dra. Inohelis – Nutricionista&#10;Eso. Maria Eliana Quiñones – Empresari"/>
        <s v="Agregar tapa de App Kromi en Google Play&#10;https://drive.google.com/file/d/1yqp2Gjl2VnvSToUDwPqu52RYPnJVMlE8/view?usp=drive_link"/>
        <s v="https://trello.com/c/aMrjSovW"/>
        <s v="Informar a los transportistas donde se tienen que estacionar"/>
        <s v="Agregar logo de Tío Rico, RIF J-30714575-7, sticker de -30% (o 30% menos), texto indicando que es válida hasta el 31 de octubre.&#10;https://drive.google.com/drive/folders/1NZZKoLHbJPzIs91Vbw-EFnFzCQkSWkQ-?usp=drive_link"/>
        <s v="jornada de charlas psicoeducativas “ OCTUBRE Creciendo Juntos” mes de la Salud Mental y Sensibilización sobre el Cáncer de Mama."/>
        <s v="Agregar animación de &quot;- 30%&quot; y logo de Tío Rico&#10;https://drive.google.com/file/d/1IQRrBHj5HwOTVOBq1X2ydOMfKqAEWaOB/view?usp=drive_link"/>
        <s v="identificar pasillos"/>
        <s v="Fusión a Ciegas: Café y Cacao con chocolates 20/20&#10;Jueves 01 de octubre &#10;Evento gratuito &#10;&#10;5:00PM&#10;Salón de eventos Tienda Prebo &#10;&#10;60 cupos&#10;Inscripciones link en bio &#10;&#10;Nos comunicaremos vía WhatsApp con los seleccionados &#10;"/>
        <s v="Delimitar parte de la nevera de Fruver con cenefas y 2 rompetráficos."/>
        <s v="Solicitud de Veronica Aular para el &quot;Encuentro Deportivo Intertiendas Carabobo 2026&quot;&#10;- Diciplinas: Voleibol, Baloncesto masculino y dominó mixto&#10;- Contactos: &#10;   - Prebo: Florangel Rojas / Verónica Aular&#10;   - Mañongo: Gladys Moros / Herminia Hernández&#10;   "/>
        <s v="Necesitamos un flayer en formato historia y para post para anunciar que tendremos un simulacro el martes 29 de septiembre"/>
        <s v="https://trello.com/c/6yq4ASiJ/484-jornada-de-adopci%C3%B3n"/>
        <s v="https://trello.com/c/OjmjWjTS/486-d%C3%ADa-de-los-animales"/>
        <s v="Agregar isotipo, agregar Rif J-30714575-7 y agregar diseño de la app Kromi con texto &quot;Ahora en Google Play&quot;."/>
        <s v="Editar imágenes para efecto zoom, agregar isotipo y agregar Rif J-30714575-7&#10;https://drive.google.com/drive/folders/1TL1DO4BZxciQ4tenCgj6E6qTW93BB0Xb?usp=drive_link"/>
        <s v="Para ofertas de la semana desde el lunes 26 al jueves 29 de octubre"/>
        <s v="Ofertas del fin de semana, desde el viernes 23 al domingo 25 de octubre"/>
        <s v="## Pieza 1: Banner Principal Izquierdo&#10;* **Dimensiones:** 800 × 400 px.&#10;* **Imagen Principal:** Hojas, harina, jamón, alcaparras, etc...&#10;* **Texto Titular:** &quot;¡PREPARA TUS HALLACAS!&quot;&#10;* **Ubicación de Enlace:** ``&#10;&#10;---&#10;&#10;## Pieza 2: Banner superior izquierd"/>
        <s v="TEXTOS A INCLUIR:&#10;- Título: ¡Empieza la navidad! / NAVIDAD&#10;- CTA: Visítanos este viernes 06 en Prebo y Mañongo&#10;&#10;ELEMENTOS A INTEGRAR EN LA PLANTILLA:&#10;- Lado derecho:Panettone y una botella de Ponche Crema.&#10;- Esquina superior derecha/centro: Elemento de Sa"/>
        <s v="Renovación de avatar de navidad para perfil de RRSS"/>
        <s v="Inauguración de la navidad&#10;Prebo, Mañongo&#10;-Degustación de café con barista y entrega de galletas de jengibre&#10;-Músicos&#10;-Pinta carita o Estación de Cartas a Santa&#10;-Visita de personajes de navidad entregando dulces (Duendes navideños)&#10;-Encendido y visita de "/>
        <s v="06 DE NOVIEMBRE &#10;TODO EL DÍA&#10;&#10;Inauguración de la navidad&#10;Prebo, Mañongo&#10;&#10;10:00AM A 12:00PM&#10;-Degustación de café con barista y entrega de galletas de jengibre&#10;&#10;1:30PM &#10;-Músicos&#10;&#10;2:30PM&#10;-Pinta carita o Estación de Cartas a Santa&#10;&#10;3:00PM&#10;-Visita de personaje"/>
        <m/>
      </sharedItems>
    </cacheField>
    <cacheField name="¿Qué se publica?" numFmtId="0">
      <sharedItems containsBlank="1">
        <s v="RRSS Historias"/>
        <s v="RRSS Post"/>
        <s v="RRSS Historias, RRSS Carrusel, Tienda televisor (horizontal y vertical), Banner web, Ofertas"/>
        <s v="RRSS Historias, RRSS Carrusel, Tienda televisor (horizontal y vertical), Ofertas"/>
        <s v="RRSS Reel"/>
        <s v="Banner web, impresiones"/>
        <s v="IMPRESIONES"/>
        <s v="RRSS Historias, RRSS Carrusel, Banner web"/>
        <s v="RRSS Carrusel"/>
        <s v="Banner para formulario de Google Forms"/>
        <s v="RRSS Historias, RRSS Post"/>
        <s v="RRSS Carrusel, Tienda televisor (horizontal y vertical), Banner web, Ofertas"/>
        <s v="RRSS Carrusel, Tienda televisor (horizontal y vertical), Ofertas"/>
        <s v="RRSS Historias, RRSS Carrusel, Banner web, Ofertas"/>
        <s v="RRSS Historias, RRSS Carrusel, Tienda televisor (horizontal y vertical), Banner web"/>
        <s v="RRSS Historias, RRSS Carrusel, Tienda televisor (horizontal y vertical)"/>
        <s v="RRSS Historias, RRSS Carrusel"/>
        <m/>
        <s v="RRSS Carrusel, Tienda televisor (horizontal y vertical), Banner web"/>
        <s v="Banner web"/>
        <s v="RRSS Carrusel, Banner web"/>
        <s v="RRSS Post, RRSS Carrusel, Tienda televisor (horizontal y vertical), Banner web"/>
        <s v="RRSS Historias, RRSS Carrusel, Tienda televisor (horizontal)"/>
        <s v="Correo interno"/>
        <s v="RRSS Avatar, FONDOS DE PANTALLA"/>
        <s v="RRSS Carrusel, Tienda televisor (horizontal y vertical)"/>
        <s v="RRSS Avatar"/>
        <s v="RRSS Historias, RRSS Post, Banner web, banner para formulario y individual tamaño carta "/>
        <s v="RRSS Historias, RRSS Carrusel, Ofertas"/>
        <s v="RRSS Carrusel, Ofertas"/>
        <s v="RRSS Post, RRSS Carrusel"/>
        <s v="Tienda televisor (horizontal)"/>
        <s v="Componente gráfico para video"/>
        <s v="RRSS Historias, RRSS Reel, Tienda televisor (horizontal y vertical)"/>
        <s v="Tienda televisor (horizontal y vertical), Banner web"/>
        <s v="marco para power point (jpg)"/>
        <s v="RRSS Historias, Ofertas"/>
        <s v="RRSS Historias, RRSS Post, Tienda televisor (horizontal y vertical)"/>
        <s v="RRSS Historias, RRSS Post, Tienda televisor (horizontal y vertical), Banner web"/>
        <s v="Correo interno, impresión"/>
        <s v="correo "/>
        <s v="RRSS Historias, RRSS Carrusel, Tienda televisor (horizontal y vertical), Banner web, Ofertas, Impresos"/>
        <s v="RRSS Post, Correo interno"/>
        <s v="RRSS Historias, Correo interno"/>
        <s v="RRSS Historias, RRSS Post, banner, impresión individual tamaño carta"/>
        <s v="RRSS Historias, RRSS Post, Correo interno"/>
      </sharedItems>
    </cacheField>
    <cacheField name="Diseñador" numFmtId="0">
      <sharedItems containsBlank="1">
        <s v="Fernando"/>
        <s v="Johanna"/>
        <m/>
      </sharedItems>
    </cacheField>
    <cacheField name="Responsble" numFmtId="49">
      <sharedItems containsBlank="1">
        <s v="rcrespokromimarket@gmail.com"/>
        <s v="Ernesto Fava"/>
        <s v="fabiana.kromimarket@gmail.com"/>
        <s v="juan.kromimarket@gmail.com"/>
        <s v="echacon.kromimarket@gmail.com"/>
        <s v="Ricardo"/>
        <s v="jhernandez1.kromimarket@gmail.com"/>
        <s v="alejandramedina46@gmail.com"/>
        <s v="furdanetakromimarket@gmail.com"/>
        <s v="Jendri"/>
        <s v="Juan E."/>
        <s v="Ernesto"/>
        <s v=""/>
        <s v="Fabiana"/>
        <m/>
      </sharedItems>
    </cacheField>
    <cacheField name="Prioridad" numFmtId="0">
      <sharedItems containsBlank="1">
        <s v="Normal"/>
        <s v="Importante"/>
        <s v="Urgente"/>
        <m/>
      </sharedItems>
    </cacheField>
    <cacheField name="Estatus" numFmtId="0">
      <sharedItems containsBlank="1">
        <s v="Terminado"/>
        <s v="Cancelado"/>
        <s v="No a tiempo"/>
        <s v="Por aprobar"/>
        <s v="Sin empezar"/>
        <s v="Solicitud Incompleta"/>
        <s v="Atrasado"/>
        <s v="En curso"/>
        <m/>
      </sharedItems>
    </cacheField>
    <cacheField name="fecha de entrega2" databaseField="0">
      <fieldGroup base="1">
        <rangePr autoStart="0" autoEnd="0" groupBy="days" startDate="2000-07-28T00:00:00Z" endDate="2026-10-31T00:00:00Z"/>
        <groupItems>
          <s v="&lt;07/28/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31/26"/>
        </groupItems>
      </fieldGroup>
    </cacheField>
    <cacheField name="marca temporal2" databaseField="0">
      <fieldGroup base="0">
        <rangePr autoStart="0" autoEnd="0" groupBy="days" startDate="2026-07-07T00:00:00Z" endDate="2026-10-27T09:02:39Z"/>
        <groupItems>
          <s v="&lt;07/07/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27/26"/>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Hoja 1" cacheId="0" dataCaption="" rowGrandTotals="0" colGrandTotals="0" compact="0" compactData="0">
  <location ref="B4:I12" firstHeaderRow="0" firstDataRow="1" firstDataCol="1" rowPageCount="1" colPageCount="1"/>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Fecha de entrega"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Nombre de arte/fly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Qué se quiere lograr con esta piez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Qué se publi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iseñador" compact="0" outline="0" multipleItemSelectionAllowed="1" showAll="0">
      <items>
        <item x="0"/>
        <item x="1"/>
        <item x="2"/>
        <item t="default"/>
      </items>
    </pivotField>
    <pivotField name="Responsble" compact="0" numFmtId="49" outline="0" multipleItemSelectionAllowed="1" showAll="0">
      <items>
        <item x="0"/>
        <item x="1"/>
        <item x="2"/>
        <item x="3"/>
        <item x="4"/>
        <item x="5"/>
        <item x="6"/>
        <item x="7"/>
        <item x="8"/>
        <item x="9"/>
        <item x="10"/>
        <item x="11"/>
        <item x="12"/>
        <item x="13"/>
        <item x="14"/>
        <item t="default"/>
      </items>
    </pivotField>
    <pivotField name="Prioridad" compact="0" outline="0" multipleItemSelectionAllowed="1" showAll="0">
      <items>
        <item x="0"/>
        <item x="1"/>
        <item x="2"/>
        <item x="3"/>
        <item t="default"/>
      </items>
    </pivotField>
    <pivotField name="Estatus" axis="axisPage" compact="0" outline="0" multipleItemSelectionAllowed="1" showAll="0">
      <items>
        <item h="1" x="0"/>
        <item h="1" x="1"/>
        <item h="1" x="2"/>
        <item h="1" x="3"/>
        <item x="4"/>
        <item h="1" x="5"/>
        <item x="6"/>
        <item h="1" x="7"/>
        <item h="1" x="8"/>
        <item t="default"/>
      </items>
    </pivotField>
    <pivotField name="fecha de entrega2"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marca temporal2" axis="axisCol"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field x="9"/>
  </rowFields>
  <colFields>
    <field x="10"/>
  </colFields>
  <pageFields>
    <pageField fld="8"/>
  </pageFields>
  <dataFields>
    <dataField name="COUNTA of Nombre de arte/flyer" fld="2" subtotal="count" baseField="0"/>
  </dataFields>
</pivotTableDefinition>
</file>

<file path=xl/tables/table1.xml><?xml version="1.0" encoding="utf-8"?>
<table xmlns="http://schemas.openxmlformats.org/spreadsheetml/2006/main" ref="A1:V365" displayName="Form_Responses" name="Form_Responses" id="1">
  <autoFilter ref="$A$1:$V$365"/>
  <tableColumns count="22">
    <tableColumn name="Marca temporal" id="1"/>
    <tableColumn name="Fecha de entrega" id="2"/>
    <tableColumn name="Nombre de arte/flyer" id="3"/>
    <tableColumn name="¿Qué se quiere lograr con esta pieza?" id="4"/>
    <tableColumn name="¿Qué se publica?" id="5"/>
    <tableColumn name="Diseñador" id="6"/>
    <tableColumn name="Responsble" id="7"/>
    <tableColumn name="Prioridad" id="8"/>
    <tableColumn name="Estatus" id="9"/>
    <tableColumn name="Fecha de termino" id="10"/>
    <tableColumn name="Departamento" id="11"/>
    <tableColumn name="Imagen referencial" id="12"/>
    <tableColumn name="¿Qué se imprime?" id="13"/>
    <tableColumn name="Área" id="14"/>
    <tableColumn name="¿Cuántos diseños se necesita?" id="15"/>
    <tableColumn name="¿A que medio pertenece?" id="16"/>
    <tableColumn name="Dirección de correo electrónico" id="17"/>
    <tableColumn name="¿Cuántas piezas?" id="18"/>
    <tableColumn name="¿Qué se publica? 2" id="19"/>
    <tableColumn name="¿Qué se imprime? 2" id="20"/>
    <tableColumn name="En qué material" id="21"/>
    <tableColumn name="Definir las medidas" id="22"/>
  </tableColumns>
  <tableStyleInfo name="Solicitudes de diseñ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47" dT="2026-07-14T18:04:08.00" personId="{f706a6b7-4c73-4c23-8904-e46e9cbd4804}" id="{fd2d2fcd-2d15-4e5b-9f05-991cae2cb8f9}" done="1">
    <x18tc:text xml:space="preserve">Fue terminado y aprobado el día lunes 13 de julio</x18tc:text>
  </x18tc:threadedComment>
  <x18tc:threadedComment ref="J149" dT="2026-07-14T18:04:47.00" personId="{f706a6b7-4c73-4c23-8904-e46e9cbd4804}" id="{c360ec8b-9435-4972-b441-437825816c66}" done="1">
    <x18tc:text xml:space="preserve">Fue terminado y aprobado el día lunes 13 de julio</x18tc:text>
  </x18tc:threadedComment>
  <x18tc:threadedComment ref="H151" dT="2026-07-14T19:54:40.00" personId="{bc002e55-75cc-422a-b0af-b8f154d47d65}" id="{bbb11502-0426-4575-97cb-bf8f6fcddf0e}" done="1">
    <x18tc:text xml:space="preserve">@jhernandez1.kromimarket@gmail.com por favor  cambia el status a cancelado
Asignado a jhernandez1.kromimarket@gmail.com</x18tc:text>
    <x18tc:mentions>
      <x18tc:mention mentionpersonId="{9c1fe75a-b7eb-4432-9d44-bfedae5cb256}" mentionId="{e50dc36d-1062-47e0-a573-3fdb03e5b4b8}" startIndex="0" length="34"/>
    </x18tc:mentions>
  </x18tc:threadedComment>
  <x18tc:threadedComment ref="I179" dT="2026-08-13T12:19:48.00" personId="{d90a9670-4269-44be-9f7f-d786ab9803b8}" id="{6a117da9-4260-42e8-910c-ec37410cc73b}" done="1">
    <x18tc:text xml:space="preserve">LISTO</x18tc:text>
  </x18tc:threadedComment>
  <x18tc:threadedComment ref="I36" dT="2026-08-13T18:22:13.00" personId="{c9e3cdaf-6881-4aa9-b721-a78d212c3e74}" id="{75e089f1-cf7d-4dda-928a-2271302198eb}" done="1">
    <x18tc:text xml:space="preserve">listo</x18tc:text>
  </x18tc:threadedComment>
  <x18tc:threadedComment ref="I27" dT="2026-07-31T17:04:22.00" personId="{c9e3cdaf-6881-4aa9-b721-a78d212c3e74}" id="{6e69f6b8-faad-47f6-b895-543bfc2746af}" done="1">
    <x18tc:text xml:space="preserve">LISTO</x18tc:text>
  </x18tc:threadedComment>
  <x18tc:threadedComment ref="I20" dT="2026-07-31T20:26:48.00" personId="{c9e3cdaf-6881-4aa9-b721-a78d212c3e74}" id="{d6c05b7d-ded3-43e9-acd8-6ea324af8ffd}" done="1">
    <x18tc:text xml:space="preserve">listo</x18tc:text>
  </x18tc:threadedComment>
  <x18tc:threadedComment ref="H21" dT="2026-07-31T20:19:50.00" personId="{c9e3cdaf-6881-4aa9-b721-a78d212c3e74}" id="{17c603fc-f8a6-4cc7-88c7-6b938729add8}" done="1">
    <x18tc:text xml:space="preserve">listo</x18tc:text>
  </x18tc:threadedComment>
  <x18tc:threadedComment ref="I61" dT="2026-09-07T12:36:47.00" personId="{c9e3cdaf-6881-4aa9-b721-a78d212c3e74}" id="{4059c052-f872-4938-90d0-80382546d48c}" done="1">
    <x18tc:text xml:space="preserve">listo</x18tc:text>
  </x18tc:threadedComment>
  <x18tc:threadedComment ref="I47" dT="2026-09-07T15:36:55.00" personId="{c9e3cdaf-6881-4aa9-b721-a78d212c3e74}" id="{8388b8c9-6a2b-4a69-9aaf-4b096ccb9eb7}" done="1">
    <x18tc:text xml:space="preserve">listo</x18tc:text>
  </x18tc:threadedComment>
  <x18tc:threadedComment ref="I47" dT="2026-09-07T15:39:18.00" personId="{d90a9670-4269-44be-9f7f-d786ab9803b8}" id="{d1fb6082-1b52-4a2c-9a73-d89312fc86ad}" parentId="{8388b8c9-6a2b-4a69-9aaf-4b096ccb9eb7}">
    <x18tc:text xml:space="preserve">@content.creatorerni@gmail.com LISTO</x18tc:text>
    <x18tc:mentions>
      <x18tc:mention mentionpersonId="{04ab10db-beb2-4d7d-8c72-75c79fa91207}" mentionId="{58ffef91-6eb7-4463-a915-3ca3efd05ee0}" startIndex="0" length="30"/>
    </x18tc:mentions>
  </x18tc:threadedComment>
  <x18tc:threadedComment ref="I51" dT="2026-09-07T16:23:15.00" personId="{c9e3cdaf-6881-4aa9-b721-a78d212c3e74}" id="{4eb43cab-ca95-4698-84cc-e81764de8c55}" done="1">
    <x18tc:text xml:space="preserve">listo</x18tc:text>
  </x18tc:threadedComment>
  <x18tc:threadedComment ref="I160" dT="2026-07-23T14:00:07.00" personId="{f706a6b7-4c73-4c23-8904-e46e9cbd4804}" id="{abb4853c-405e-42cd-8ee0-169031cad36a}" done="1">
    <x18tc:text xml:space="preserve">En espera por definición de línea gráfica Mini Chef 8va edición</x18tc:text>
  </x18tc:threadedComment>
  <x18tc:threadedComment ref="C269" dT="2026-07-23T14:05:43.00" personId="{e52cd5c5-1ecd-47a1-a875-e464ff849ac6}" id="{7ec35b84-e8d6-4817-8836-5c2643bb0170}" done="1">
    <x18tc:text xml:space="preserve">parches de lonas</x18tc:text>
  </x18tc:threadedComment>
  <x18tc:threadedComment ref="I2" dT="2026-07-17T16:20:45.00" personId="{c9e3cdaf-6881-4aa9-b721-a78d212c3e74}" id="{854590a6-9da0-492a-8cd8-11e1805238e6}" done="1">
    <x18tc:text xml:space="preserve">listo</x18tc:text>
  </x18tc:threadedComment>
  <x18tc:threadedComment ref="I7" dT="2026-07-17T16:21:05.00" personId="{c9e3cdaf-6881-4aa9-b721-a78d212c3e74}" id="{efde5984-19d4-4822-9087-f062392d35fb}" done="1">
    <x18tc:text xml:space="preserve">listo</x18tc:text>
  </x18tc:threadedComment>
  <x18tc:threadedComment ref="I3" dT="2026-07-17T12:17:00.00" personId="{d90a9670-4269-44be-9f7f-d786ab9803b8}" id="{1b51ea8d-8551-401d-a682-b2d062d60b57}" done="1">
    <x18tc:text xml:space="preserve">@content.creatorerni@gmail.com @fhernandez.kromimarket@gmail.com Salutación esperando por aprobacion
Asignado a content.creatorerni@gmail.com</x18tc:text>
    <x18tc:mentions>
      <x18tc:mention mentionpersonId="{04ab10db-beb2-4d7d-8c72-75c79fa91207}" mentionId="{99180240-a8fd-404b-8f93-c202d058cfc2}" startIndex="0" length="30"/>
      <x18tc:mention mentionpersonId="{c40e17c7-d345-417e-b9f1-e717d0858254}" mentionId="{a4e339de-a532-49ae-820f-216923188ed3}" startIndex="31" length="33"/>
    </x18tc:mentions>
  </x18tc:threadedComment>
  <x18tc:threadedComment ref="I3" dT="2026-07-17T12:22:59.00" personId="{d90a9670-4269-44be-9f7f-d786ab9803b8}" id="{20c0d802-4d3b-466d-8797-d2453d221027}" done="1">
    <x18tc:text xml:space="preserve">@content.creatorerni@gmail.com @fhernandez.kromimarket@gmail.com realizado el 16 de julio, en espera de aprobacion
Asignado a content.creatorerni@gmail.com</x18tc:text>
    <x18tc:mentions>
      <x18tc:mention mentionpersonId="{04ab10db-beb2-4d7d-8c72-75c79fa91207}" mentionId="{6d90a261-efa4-4fd7-a3c4-5e8a553e66ce}" startIndex="0" length="30"/>
      <x18tc:mention mentionpersonId="{c40e17c7-d345-417e-b9f1-e717d0858254}" mentionId="{69df3c8e-9ebd-47a6-a5f7-5c47a07f494a}" startIndex="31" length="33"/>
    </x18tc:mentions>
  </x18tc:threadedComment>
  <x18tc:threadedComment ref="I3" dT="2026-07-17T12:44:22.00" personId="{d90a9670-4269-44be-9f7f-d786ab9803b8}" id="{0d77d3ee-7529-43d3-9aaa-8fd48b8e131c}" parentId="{20c0d802-4d3b-466d-8797-d2453d221027}">
    <x18tc:text xml:space="preserve">salutación ya aprobada 17 de julio</x18tc:text>
  </x18tc:threadedComment>
  <x18tc:threadedComment ref="I152" dT="2026-07-17T12:41:40.00" personId="{f706a6b7-4c73-4c23-8904-e46e9cbd4804}" id="{7b8b7adc-e418-4444-948b-447accec3785}" done="1">
    <x18tc:text xml:space="preserve">Demora en la organización de los clips para el video.</x18tc:text>
  </x18tc:threadedComment>
  <x18tc:threadedComment ref="I6" dT="2026-07-17T13:38:08.00" personId="{f706a6b7-4c73-4c23-8904-e46e9cbd4804}" id="{95368918-ed32-471e-b5e8-a425a4c6cd47}" done="1">
    <x18tc:text xml:space="preserve">Problemas con el formato de la foto</x18tc:text>
  </x18tc:threadedComment>
  <x18tc:threadedComment ref="I4" dT="2026-07-17T20:55:27.00" personId="{c9e3cdaf-6881-4aa9-b721-a78d212c3e74}" id="{f61f5b53-c007-417e-9d66-d21ad3e2fced}" done="1">
    <x18tc:text xml:space="preserve">terminado</x18tc:text>
  </x18tc:threadedComment>
  <x18tc:threadedComment ref="I8" dT="2026-07-20T12:30:42.00" personId="{c9e3cdaf-6881-4aa9-b721-a78d212c3e74}" id="{e8877a77-65e7-4e6e-9e65-31b1e7380597}" done="1">
    <x18tc:text xml:space="preserve">listo desde el 17-6</x18tc:text>
  </x18tc:threadedComment>
  <x18tc:threadedComment ref="J9" dT="2026-07-20T19:46:32.00" personId="{d90a9670-4269-44be-9f7f-d786ab9803b8}" id="{c18dd2c2-0afb-4f31-b888-858b9799478a}" done="1">
    <x18tc:text xml:space="preserve">@content.creatorerni@gmail.com @fhernandez.kromimarket@gmail.com  en espera de aprobación por david
Asignado a content.creatorerni@gmail.com</x18tc:text>
    <x18tc:mentions>
      <x18tc:mention mentionpersonId="{04ab10db-beb2-4d7d-8c72-75c79fa91207}" mentionId="{95b640a5-e57e-44c8-86f8-76761f0403cd}" startIndex="0" length="30"/>
      <x18tc:mention mentionpersonId="{c40e17c7-d345-417e-b9f1-e717d0858254}" mentionId="{47873936-3719-4bd9-b0c8-aede65ae97b6}" startIndex="31" length="33"/>
    </x18tc:mentions>
  </x18tc:threadedComment>
  <x18tc:threadedComment ref="I146" dT="2026-07-20T20:28:51.00" personId="{d90a9670-4269-44be-9f7f-d786ab9803b8}" id="{fc5bbd0a-5e3a-4871-8771-562d42692ac4}" done="1">
    <x18tc:text xml:space="preserve">esta salutacion se va a remodificar para rrss con contenido creado</x18tc:text>
  </x18tc:threadedComment>
  <x18tc:threadedComment ref="C145" dT="2026-07-20T20:21:04.00" personId="{bc002e55-75cc-422a-b0af-b8f154d47d65}" id="{6b5509a1-c7f0-406f-8d16-30af7d44598f}" done="0">
    <x18tc:text xml:space="preserve">entiendo la foto que tenían se cambia porque esta con la camiseta de Argentina, asumo que hay que replantear, Ernesto, ellos tienen una gama de productos, podrás sacarla completa sin ser carrusel, o sacar los 3 sabores de estos. Sin carrusel, algo sencillo</x18tc:text>
  </x18tc:threadedComment>
  <x18tc:threadedComment ref="C146" dT="2026-07-20T20:23:15.00" personId="{bc002e55-75cc-422a-b0af-b8f154d47d65}" id="{6bd2c988-aa82-4e29-b9c8-abf2e2a8bd0e}" done="0">
    <x18tc:text xml:space="preserve">En el correo que les envié  la semana pasada, esta un detalle y no tiene que ver con esto, esto va a las rrss y farmacia lo puede hacer en colaboración con kromi</x18tc:text>
  </x18tc:threadedComment>
  <x18tc:threadedComment ref="C5" dT="2026-07-20T20:27:16.00" personId="{bc002e55-75cc-422a-b0af-b8f154d47d65}" id="{9f4cb232-c3e2-4e48-b5c5-3f6613c3373b}" done="1">
    <x18tc:text xml:space="preserve">En este, agreguen en el copy varios números gratuitos que hay actualmente como servicio a la comunidad</x18tc:text>
  </x18tc:threadedComment>
  <x18tc:threadedComment ref="I12" dT="2026-07-21T18:53:28.00" personId="{d90a9670-4269-44be-9f7f-d786ab9803b8}" id="{5cee4af0-4209-4b9d-a8e0-9333fae06a5a}" done="1">
    <x18tc:text xml:space="preserve">@content.creatorerni@gmail.com EN PROCESO
Asignado a content.creatorerni@gmail.com</x18tc:text>
    <x18tc:mentions>
      <x18tc:mention mentionpersonId="{04ab10db-beb2-4d7d-8c72-75c79fa91207}" mentionId="{bfefe752-8157-4463-9946-abb407924c9e}" startIndex="0" length="30"/>
    </x18tc:mentions>
  </x18tc:threadedComment>
  <x18tc:threadedComment ref="I10" dT="2026-07-21T18:52:32.00" personId="{d90a9670-4269-44be-9f7f-d786ab9803b8}" id="{6424eb95-7d6d-4d62-81f5-11d2a71166bf}" done="1">
    <x18tc:text xml:space="preserve">TA LISTO VPY A PUNBLICAR @content.creatorerni@gmail.com
Asignado a content.creatorerni@gmail.com</x18tc:text>
    <x18tc:mentions>
      <x18tc:mention mentionpersonId="{04ab10db-beb2-4d7d-8c72-75c79fa91207}" mentionId="{4e78df6d-278a-4f4a-a42a-718b7058a0ab}" startIndex="25" length="30"/>
    </x18tc:mentions>
  </x18tc:threadedComment>
  <x18tc:threadedComment ref="I5" dT="2026-07-21T18:57:48.00" personId="{d90a9670-4269-44be-9f7f-d786ab9803b8}" id="{85c19eb5-c622-400c-bcee-f7c954631b3f}" done="1">
    <x18tc:text xml:space="preserve">hay correciones pendientes por Ale</x18tc:text>
  </x18tc:threadedComment>
  <x18tc:threadedComment ref="I5" dT="2026-07-21T20:24:18.00" personId="{c9e3cdaf-6881-4aa9-b721-a78d212c3e74}" id="{14995c85-9381-4bd4-9f41-428f3a535391}" parentId="{85c19eb5-c622-400c-bcee-f7c954631b3f}">
    <x18tc:text xml:space="preserve">LISTO</x18tc:text>
  </x18tc:threadedComment>
  <x18tc:threadedComment ref="I12" dT="2026-07-21T19:57:37.00" personId="{c9e3cdaf-6881-4aa9-b721-a78d212c3e74}" id="{1339590e-7a4d-440c-b9f3-8814645f8204}" done="1">
    <x18tc:text xml:space="preserve">lsiyto</x18tc:text>
  </x18tc:threadedComment>
  <x18tc:threadedComment ref="I5" dT="2026-07-21T13:42:26.00" personId="{c9e3cdaf-6881-4aa9-b721-a78d212c3e74}" id="{1b124b40-7db5-46f5-9671-ca31d622c684}" done="1">
    <x18tc:text xml:space="preserve">TERMINADO</x18tc:text>
  </x18tc:threadedComment>
  <x18tc:threadedComment ref="I11" dT="2026-07-22T13:14:06.00" personId="{c9e3cdaf-6881-4aa9-b721-a78d212c3e74}" id="{e0e70153-3d97-4e18-9b4f-56f38598a2da}" done="1">
    <x18tc:text xml:space="preserve">listo</x18tc:text>
  </x18tc:threadedComment>
  <x18tc:threadedComment ref="I11" dT="2026-07-22T13:17:10.00" personId="{f706a6b7-4c73-4c23-8904-e46e9cbd4804}" id="{46628c90-94f4-48a9-82cf-0d007a479ece}" parentId="{e0e70153-3d97-4e18-9b4f-56f38598a2da}">
    <x18tc:text xml:space="preserve">Por aprobar</x18tc:text>
  </x18tc:threadedComment>
  <x18tc:threadedComment ref="J169" dT="2026-08-05T12:07:29.00" personId="{d90a9670-4269-44be-9f7f-d786ab9803b8}" id="{d3fa75fd-8214-43d4-a4f7-298228a0a94c}" done="1">
    <x18tc:text xml:space="preserve">LISTOOO</x18tc:text>
  </x18tc:threadedComment>
  <x18tc:threadedComment ref="I38" dT="2026-08-07T13:36:01.00" personId="{d90a9670-4269-44be-9f7f-d786ab9803b8}" id="{239b06f5-81a0-4855-bc33-a3b2811308fd}" done="1">
    <x18tc:text xml:space="preserve">POR APROBAR</x18tc:text>
  </x18tc:threadedComment>
  <x18tc:threadedComment ref="I38" dT="2026-08-07T17:54:19.00" personId="{d90a9670-4269-44be-9f7f-d786ab9803b8}" id="{017449ac-7a64-4de2-ab51-5104e201c7a1}" done="1">
    <x18tc:text xml:space="preserve">LISTOO</x18tc:text>
  </x18tc:threadedComment>
  <x18tc:threadedComment ref="I39" dT="2026-08-07T17:57:15.00" personId="{c9e3cdaf-6881-4aa9-b721-a78d212c3e74}" id="{1dd65e0d-40b2-406d-815f-823cea332a30}" done="1">
    <x18tc:text xml:space="preserve">LISTO</x18tc:text>
  </x18tc:threadedComment>
  <x18tc:threadedComment ref="D14" dT="2026-07-27T18:43:22.00" personId="{f706a6b7-4c73-4c23-8904-e46e9cbd4804}" id="{db7621df-b1f0-4a18-bed8-c4a4d16e40f6}" done="0">
    <x18tc:text xml:space="preserve">Marcar como observación de proceso en eventos.</x18tc:text>
  </x18tc:threadedComment>
  <x18tc:threadedComment ref="D14" dT="2026-07-27T18:44:07.00" personId="{f706a6b7-4c73-4c23-8904-e46e9cbd4804}" id="{4284c49a-617e-4b55-b1cf-3e35d0c1d5ef}" parentId="{db7621df-b1f0-4a18-bed8-c4a4d16e40f6}">
    <x18tc:text xml:space="preserve">@jhernandez1.kromimarket@gmail.com No marques este comentario como resuelto por favor.</x18tc:text>
    <x18tc:mentions>
      <x18tc:mention mentionpersonId="{9c1fe75a-b7eb-4432-9d44-bfedae5cb256}" mentionId="{4953ccf1-674c-4175-995b-4a62cf569fa3}" startIndex="0" length="34"/>
    </x18tc:mentions>
  </x18tc:threadedComment>
  <x18tc:threadedComment ref="J163" dT="2026-07-27T18:45:09.00" personId="{f706a6b7-4c73-4c23-8904-e46e9cbd4804}" id="{09f369a2-0753-412c-bf93-88ee9148d89d}" done="1">
    <x18tc:text xml:space="preserve">Terminado a las 10:00 am</x18tc:text>
  </x18tc:threadedComment>
  <x18tc:threadedComment ref="J163" dT="2026-07-27T18:45:10.00" personId="{f706a6b7-4c73-4c23-8904-e46e9cbd4804}" id="{3bb6e5e4-09df-4428-a2ac-92f65dae2b84}" parentId="{09f369a2-0753-412c-bf93-88ee9148d89d}">
    <x18tc:text xml:space="preserve">Marcado como resuelto</x18tc:text>
  </x18tc:threadedComment>
  <x18tc:threadedComment ref="J163" dT="2026-07-27T18:45:32.00" personId="{f706a6b7-4c73-4c23-8904-e46e9cbd4804}" id="{86454c11-d006-4a08-8e10-045905d9df2b}" parentId="{09f369a2-0753-412c-bf93-88ee9148d89d}">
    <x18tc:text xml:space="preserve">Reabierto</x18tc:text>
  </x18tc:threadedComment>
  <x18tc:threadedComment ref="I18" dT="2026-07-28T12:09:01.00" personId="{c9e3cdaf-6881-4aa9-b721-a78d212c3e74}" id="{a8d9bf7c-e0d1-40e7-bd7c-26b7ee5ed368}" done="1">
    <x18tc:text xml:space="preserve">LISTO</x18tc:text>
  </x18tc:threadedComment>
  <x18tc:threadedComment ref="I17" dT="2026-07-29T15:01:59.00" personId="{c9e3cdaf-6881-4aa9-b721-a78d212c3e74}" id="{9ab0adfb-3c6e-400f-af17-5bba94b819e3}" done="1">
    <x18tc:text xml:space="preserve">listo</x18tc:text>
  </x18tc:threadedComment>
  <x18tc:threadedComment ref="B26" dT="2026-07-29T15:31:39.00" personId="{d90a9670-4269-44be-9f7f-d786ab9803b8}" id="{0b866d6d-3c4e-48d8-949e-391c7cac8f7d}" done="1">
    <x18tc:text xml:space="preserve">@content.creatorerni@gmail.com por fa cambia la fecha a 05/08/2026
Asignado a content.creatorerni@gmail.com</x18tc:text>
    <x18tc:mentions>
      <x18tc:mention mentionpersonId="{04ab10db-beb2-4d7d-8c72-75c79fa91207}" mentionId="{cbda9f70-0a3e-4142-b840-55ff44f6914b}" startIndex="0" length="30"/>
    </x18tc:mentions>
  </x18tc:threadedComment>
  <x18tc:threadedComment ref="I164" dT="2026-07-29T16:37:58.00" personId="{f706a6b7-4c73-4c23-8904-e46e9cbd4804}" id="{78063afe-1d9b-4242-a0e1-4ff8954d27f9}" done="1">
    <x18tc:text xml:space="preserve">Falta por agregar los patrocinantes confirmados para el viernes 31 de agosto</x18tc:text>
  </x18tc:threadedComment>
  <x18tc:threadedComment ref="I24" dT="2026-07-30T14:55:27.00" personId="{c9e3cdaf-6881-4aa9-b721-a78d212c3e74}" id="{dafa94f3-2e21-43f1-b739-e07746360e87}" done="1">
    <x18tc:text xml:space="preserve">LISTO</x18tc:text>
  </x18tc:threadedComment>
  <x18tc:threadedComment ref="I24" dT="2026-07-30T15:43:32.00" personId="{f706a6b7-4c73-4c23-8904-e46e9cbd4804}" id="{dc2cdd7e-ed53-4178-aa98-3b724a35ceaa}" done="1">
    <x18tc:text xml:space="preserve">Falta por agregar los patrocinantes confirmados para el viernes 31 de agosto</x18tc:text>
  </x18tc:threadedComment>
  <x18tc:threadedComment ref="I25" dT="2026-08-03T16:25:29.00" personId="{c9e3cdaf-6881-4aa9-b721-a78d212c3e74}" id="{57e5bd4f-0a39-4d8b-aa9b-28f14013a3bd}" done="1">
    <x18tc:text xml:space="preserve">LISTO</x18tc:text>
  </x18tc:threadedComment>
  <x18tc:threadedComment ref="I30" dT="2026-08-04T13:15:01.00" personId="{d90a9670-4269-44be-9f7f-d786ab9803b8}" id="{4f3d6341-e38f-4983-b1a5-eb0d27205e56}" done="1">
    <x18tc:text xml:space="preserve">POR APROBAR</x18tc:text>
  </x18tc:threadedComment>
  <x18tc:threadedComment ref="J169" dT="2026-08-04T19:19:33.00" personId="{d90a9670-4269-44be-9f7f-d786ab9803b8}" id="{6dcef4b4-fbf8-44ab-ad92-5e056dc01bce}" done="1">
    <x18tc:text xml:space="preserve">POR APROBAR</x18tc:text>
  </x18tc:threadedComment>
  <x18tc:threadedComment ref="I32" dT="2026-08-04T18:45:15.00" personId="{c9e3cdaf-6881-4aa9-b721-a78d212c3e74}" id="{4ee6b70c-d608-4295-8561-81f270a2e298}" done="1">
    <x18tc:text xml:space="preserve">LISTO</x18tc:text>
  </x18tc:threadedComment>
  <x18tc:threadedComment ref="J31" dT="2026-08-04T21:00:34.00" personId="{d90a9670-4269-44be-9f7f-d786ab9803b8}" id="{b6df5768-9219-41e6-a2fb-d0aa61344c63}" done="1">
    <x18tc:text xml:space="preserve">LISTO</x18tc:text>
  </x18tc:threadedComment>
  <x18tc:threadedComment ref="J32" dT="2026-08-04T21:00:43.00" personId="{d90a9670-4269-44be-9f7f-d786ab9803b8}" id="{4a4a98f7-5526-4b58-b1be-355dd73fc96c}" done="1">
    <x18tc:text xml:space="preserve">LISTO</x18tc:text>
  </x18tc:threadedComment>
  <x18tc:threadedComment ref="I34" dT="2026-08-24T12:40:52.00" personId="{c9e3cdaf-6881-4aa9-b721-a78d212c3e74}" id="{51548844-c779-43be-b87d-b425608fd05a}" done="1">
    <x18tc:text xml:space="preserve">LISTO</x18tc:text>
  </x18tc:threadedComment>
  <x18tc:threadedComment ref="I34" dT="2026-08-24T16:16:27.00" personId="{d90a9670-4269-44be-9f7f-d786ab9803b8}" id="{134d972d-8713-4c8a-bbc5-758a257fdfb3}" parentId="{51548844-c779-43be-b87d-b425608fd05a}">
    <x18tc:text xml:space="preserve">LISTO</x18tc:text>
  </x18tc:threadedComment>
  <x18tc:threadedComment ref="I180" dT="2026-08-24T16:16:40.00" personId="{d90a9670-4269-44be-9f7f-d786ab9803b8}" id="{6e3d0661-7e12-487d-b021-057fb4a38207}" done="1">
    <x18tc:text xml:space="preserve">POR APROBAR</x18tc:text>
  </x18tc:threadedComment>
  <x18tc:threadedComment ref="I47" dT="2026-08-25T14:06:25.00" personId="{d90a9670-4269-44be-9f7f-d786ab9803b8}" id="{f33c4d3a-fce9-4eea-9556-a80df44610c0}" done="1">
    <x18tc:text xml:space="preserve">POR APROBAR</x18tc:text>
  </x18tc:threadedComment>
  <x18tc:threadedComment ref="I49" dT="2026-08-25T15:10:44.00" personId="{c9e3cdaf-6881-4aa9-b721-a78d212c3e74}" id="{f9b893db-1486-43cc-a070-77d6c90eadf6}" done="1">
    <x18tc:text xml:space="preserve">LISTO</x18tc:text>
  </x18tc:threadedComment>
  <x18tc:threadedComment ref="I50" dT="2026-08-25T19:16:04.00" personId="{c9e3cdaf-6881-4aa9-b721-a78d212c3e74}" id="{8f62246f-b9cc-42a3-ad0e-7bbbc7f72f2f}" done="1">
    <x18tc:text xml:space="preserve">listo</x18tc:text>
  </x18tc:threadedComment>
  <x18tc:threadedComment ref="I50" dT="2026-08-26T13:01:44.00" personId="{d90a9670-4269-44be-9f7f-d786ab9803b8}" id="{518ff4b7-cbb6-4de4-988c-e85933e51134}" parentId="{8f62246f-b9cc-42a3-ad0e-7bbbc7f72f2f}">
    <x18tc:text xml:space="preserve">LISTO</x18tc:text>
  </x18tc:threadedComment>
  <x18tc:threadedComment ref="I28" dT="2026-08-10T20:54:50.00" personId="{c9e3cdaf-6881-4aa9-b721-a78d212c3e74}" id="{13f2cf11-6c05-4e27-b1ec-59f51c49ada4}" done="0">
    <x18tc:text xml:space="preserve">listo</x18tc:text>
  </x18tc:threadedComment>
  <x18tc:threadedComment ref="I26" dT="2026-08-10T14:33:23.00" personId="{c9e3cdaf-6881-4aa9-b721-a78d212c3e74}" id="{25b37d83-4d0a-4c72-8168-227608d2a109}" done="1">
    <x18tc:text xml:space="preserve">listo</x18tc:text>
  </x18tc:threadedComment>
  <x18tc:threadedComment ref="I26" dT="2026-08-10T18:14:32.00" personId="{d90a9670-4269-44be-9f7f-d786ab9803b8}" id="{20d8a0a7-0a66-4438-b435-97c5318b3ba4}" done="0">
    <x18tc:text xml:space="preserve">aprobado!</x18tc:text>
  </x18tc:threadedComment>
  <x18tc:threadedComment ref="I168" dT="2026-08-10T18:14:40.00" personId="{d90a9670-4269-44be-9f7f-d786ab9803b8}" id="{c3114de9-fc3b-4868-bf0e-162285373c6c}" done="1">
    <x18tc:text xml:space="preserve">aprobado!</x18tc:text>
  </x18tc:threadedComment>
  <x18tc:threadedComment ref="J168" dT="2026-08-11T13:03:17.00" personId="{d90a9670-4269-44be-9f7f-d786ab9803b8}" id="{2e96aeb2-568f-428e-987c-298a8a823ed6}" done="1">
    <x18tc:text xml:space="preserve">LISTOOO</x18tc:text>
  </x18tc:threadedComment>
  <x18tc:threadedComment ref="J26" dT="2026-08-11T13:03:25.00" personId="{d90a9670-4269-44be-9f7f-d786ab9803b8}" id="{6ab0aa61-5ffe-425c-8af2-48848fa7111d}" done="1">
    <x18tc:text xml:space="preserve">LISTO</x18tc:text>
  </x18tc:threadedComment>
  <x18tc:threadedComment ref="I40" dT="2026-08-11T15:02:26.00" personId="{c9e3cdaf-6881-4aa9-b721-a78d212c3e74}" id="{a32b7ac0-4d6c-44e2-9b51-a1b0b3bb5df1}" done="1">
    <x18tc:text xml:space="preserve">LISTO</x18tc:text>
  </x18tc:threadedComment>
  <x18tc:threadedComment ref="I40" dT="2026-08-11T20:24:02.00" personId="{d90a9670-4269-44be-9f7f-d786ab9803b8}" id="{09159276-d581-4efd-a493-d70239009d37}" parentId="{a32b7ac0-4d6c-44e2-9b51-a1b0b3bb5df1}">
    <x18tc:text xml:space="preserve">LISTOOOOOO @content.creatorerni@gmail.com</x18tc:text>
    <x18tc:mentions>
      <x18tc:mention mentionpersonId="{04ab10db-beb2-4d7d-8c72-75c79fa91207}" mentionId="{ccb60654-e24a-4919-bc27-1f652e13f056}" startIndex="11" length="30"/>
    </x18tc:mentions>
  </x18tc:threadedComment>
  <x18tc:threadedComment ref="I33" dT="2026-08-11T16:06:05.00" personId="{c9e3cdaf-6881-4aa9-b721-a78d212c3e74}" id="{53871025-18c7-4037-ba93-825c48daafb3}" done="1">
    <x18tc:text xml:space="preserve">LISTO</x18tc:text>
  </x18tc:threadedComment>
  <x18tc:threadedComment ref="I33" dT="2026-08-11T20:38:06.00" personId="{d90a9670-4269-44be-9f7f-d786ab9803b8}" id="{0f52a36f-bdba-4d72-9d72-590510d34c63}" parentId="{53871025-18c7-4037-ba93-825c48daafb3}">
    <x18tc:text xml:space="preserve">LISTOOOO</x18tc:text>
  </x18tc:threadedComment>
  <x18tc:threadedComment ref="I41" dT="2026-08-11T20:39:44.00" personId="{d90a9670-4269-44be-9f7f-d786ab9803b8}" id="{591fa238-ae0b-4253-8b5b-72761652a04a}" done="1">
    <x18tc:text xml:space="preserve">por aprobar</x18tc:text>
  </x18tc:threadedComment>
  <x18tc:threadedComment ref="I42" dT="2026-08-12T13:21:11.00" personId="{d90a9670-4269-44be-9f7f-d786ab9803b8}" id="{7c5dda55-9004-4c55-95d5-35f724a959b8}" done="1">
    <x18tc:text xml:space="preserve">LISTOOO</x18tc:text>
  </x18tc:threadedComment>
  <x18tc:threadedComment ref="I185" dT="2026-08-12T15:46:26.00" personId="{d90a9670-4269-44be-9f7f-d786ab9803b8}" id="{859b7d82-ed8d-4af7-9255-b08c0016f3f0}" done="1">
    <x18tc:text xml:space="preserve">POR APROBAR</x18tc:text>
  </x18tc:threadedComment>
  <x18tc:threadedComment ref="I35" dT="2026-08-12T16:01:27.00" personId="{c9e3cdaf-6881-4aa9-b721-a78d212c3e74}" id="{2a0ed73f-0ca3-4b5b-822b-f3c6cc42a476}" done="1">
    <x18tc:text xml:space="preserve">LISTO</x18tc:text>
  </x18tc:threadedComment>
  <x18tc:threadedComment ref="I44" dT="2026-08-14T16:04:49.00" personId="{d90a9670-4269-44be-9f7f-d786ab9803b8}" id="{7224c795-5c47-40e9-af3a-de3e05224878}" done="1">
    <x18tc:text xml:space="preserve">LISTOS</x18tc:text>
  </x18tc:threadedComment>
  <x18tc:threadedComment ref="I185" dT="2026-08-14T19:27:56.00" personId="{d90a9670-4269-44be-9f7f-d786ab9803b8}" id="{f1f8f889-f29e-431b-b048-a5a7e076c260}" done="1">
    <x18tc:text xml:space="preserve">listo</x18tc:text>
  </x18tc:threadedComment>
  <x18tc:threadedComment ref="I185" dT="2026-08-17T12:13:23.00" personId="{d90a9670-4269-44be-9f7f-d786ab9803b8}" id="{057512e0-0f28-4792-aafc-8beab8956be8}" parentId="{f1f8f889-f29e-431b-b048-a5a7e076c260}">
    <x18tc:text xml:space="preserve">LISTOOO</x18tc:text>
  </x18tc:threadedComment>
  <x18tc:threadedComment ref="K99" dT="2026-09-18T12:22:21.00" personId="{d90a9670-4269-44be-9f7f-d786ab9803b8}" id="{b209f9c5-cff5-4346-8e63-e3e0733d7cd2}" done="1">
    <x18tc:text xml:space="preserve">cambiar a farmacia</x18tc:text>
  </x18tc:threadedComment>
  <x18tc:threadedComment ref="I101" dT="2026-09-18T15:10:41.00" personId="{c9e3cdaf-6881-4aa9-b721-a78d212c3e74}" id="{d0e542d3-909a-427c-b577-e5ed2f0d5e07}" done="1">
    <x18tc:text xml:space="preserve">LISTO</x18tc:text>
  </x18tc:threadedComment>
  <x18tc:threadedComment ref="I99" dT="2026-09-18T15:10:51.00" personId="{c9e3cdaf-6881-4aa9-b721-a78d212c3e74}" id="{4bc31252-798f-4483-a35e-a76906f48503}" done="1">
    <x18tc:text xml:space="preserve">LISTO</x18tc:text>
  </x18tc:threadedComment>
  <x18tc:threadedComment ref="I89" dT="2026-09-18T15:11:23.00" personId="{c9e3cdaf-6881-4aa9-b721-a78d212c3e74}" id="{0d865261-6fa7-45c0-b5fd-bf7b1f9302db}" done="1">
    <x18tc:text xml:space="preserve">LISTO</x18tc:text>
  </x18tc:threadedComment>
  <x18tc:threadedComment ref="I99" dT="2026-09-18T16:16:30.00" personId="{d90a9670-4269-44be-9f7f-d786ab9803b8}" id="{916e7f5d-6fe7-419f-a194-5ebc48eda636}" done="1">
    <x18tc:text xml:space="preserve">@content.creatorerni@gmail.com LISTO
Asignado a content.creatorerni@gmail.com</x18tc:text>
    <x18tc:mentions>
      <x18tc:mention mentionpersonId="{04ab10db-beb2-4d7d-8c72-75c79fa91207}" mentionId="{bde74b21-04d8-4552-b0f4-5ce466fae05d}" startIndex="0" length="30"/>
    </x18tc:mentions>
  </x18tc:threadedComment>
  <x18tc:threadedComment ref="I55" dT="2026-09-18T19:55:45.00" personId="{c9e3cdaf-6881-4aa9-b721-a78d212c3e74}" id="{5fb3cad6-212c-4ff1-8575-7a090b7909e8}" done="1">
    <x18tc:text xml:space="preserve">LISTO</x18tc:text>
  </x18tc:threadedComment>
  <x18tc:threadedComment ref="I189" dT="2026-08-17T18:56:10.00" personId="{d90a9670-4269-44be-9f7f-d786ab9803b8}" id="{ae7691d7-336d-4490-885d-188b02a5a6b3}" done="0">
    <x18tc:text xml:space="preserve">LISTO</x18tc:text>
  </x18tc:threadedComment>
  <x18tc:threadedComment ref="I54" dT="2026-09-10T16:17:04.00" personId="{c9e3cdaf-6881-4aa9-b721-a78d212c3e74}" id="{8aef0400-8ee2-44a8-8553-7c9faa3bd328}" done="1">
    <x18tc:text xml:space="preserve">LISTO</x18tc:text>
  </x18tc:threadedComment>
  <x18tc:threadedComment ref="I56" dT="2026-09-10T18:30:46.00" personId="{c9e3cdaf-6881-4aa9-b721-a78d212c3e74}" id="{80330d30-4e1b-4812-93a2-e83c08983928}" done="1">
    <x18tc:text xml:space="preserve">listo</x18tc:text>
  </x18tc:threadedComment>
  <x18tc:threadedComment ref="I205" dT="2026-09-10T20:49:22.00" personId="{d90a9670-4269-44be-9f7f-d786ab9803b8}" id="{29ffed2a-ac69-480f-aa94-fc9f188dd0f9}" done="1">
    <x18tc:text xml:space="preserve">LISTO</x18tc:text>
  </x18tc:threadedComment>
  <x18tc:threadedComment ref="I204" dT="2026-09-10T20:49:30.00" personId="{d90a9670-4269-44be-9f7f-d786ab9803b8}" id="{67313b9e-0553-4f6d-9b39-fe3221b3b076}" done="1">
    <x18tc:text xml:space="preserve">LISTO</x18tc:text>
  </x18tc:threadedComment>
  <x18tc:threadedComment ref="I217" dT="2026-09-11T16:14:24.00" personId="{d90a9670-4269-44be-9f7f-d786ab9803b8}" id="{53f9b0cd-536f-474a-9d4f-6167aed9c9b9}" done="1">
    <x18tc:text xml:space="preserve">POR APROBAR</x18tc:text>
  </x18tc:threadedComment>
  <x18tc:threadedComment ref="I66" dT="2026-09-11T16:37:41.00" personId="{d90a9670-4269-44be-9f7f-d786ab9803b8}" id="{90fafd8c-519c-42f9-b7b1-329d30749eb7}" done="1">
    <x18tc:text xml:space="preserve">CANCELAR</x18tc:text>
  </x18tc:threadedComment>
  <x18tc:threadedComment ref="I67" dT="2026-09-11T16:40:08.00" personId="{d90a9670-4269-44be-9f7f-d786ab9803b8}" id="{584ea670-9425-420e-93e6-0bace5fd7192}" done="1">
    <x18tc:text xml:space="preserve">POR APROBAR</x18tc:text>
  </x18tc:threadedComment>
  <x18tc:threadedComment ref="I67" dT="2026-09-11T20:42:04.00" personId="{d90a9670-4269-44be-9f7f-d786ab9803b8}" id="{c96c080e-1b91-40b6-a859-6007a86ec7a9}" done="1">
    <x18tc:text xml:space="preserve">LISTO</x18tc:text>
  </x18tc:threadedComment>
  <x18tc:threadedComment ref="I217" dT="2026-09-11T20:50:13.00" personId="{d90a9670-4269-44be-9f7f-d786ab9803b8}" id="{a3ad4dd4-5495-4e60-b7a8-0a5f772fde75}" done="1">
    <x18tc:text xml:space="preserve">LISTO</x18tc:text>
  </x18tc:threadedComment>
  <x18tc:threadedComment ref="I132" dT="2026-10-13T12:21:39.00" personId="{c9e3cdaf-6881-4aa9-b721-a78d212c3e74}" id="{ba48c31c-180c-47cc-87fc-2b9b9716dd3e}" done="1">
    <x18tc:text xml:space="preserve">listo</x18tc:text>
  </x18tc:threadedComment>
  <x18tc:threadedComment ref="I72" dT="2026-10-13T13:03:48.00" personId="{c9e3cdaf-6881-4aa9-b721-a78d212c3e74}" id="{7ddab1fd-fc37-476b-b020-b42a83f31f55}" done="1">
    <x18tc:text xml:space="preserve">listo</x18tc:text>
  </x18tc:threadedComment>
  <x18tc:threadedComment ref="I136" dT="2026-10-13T17:44:55.00" personId="{d90a9670-4269-44be-9f7f-d786ab9803b8}" id="{17fe783c-ae90-4319-9839-7f379aae2258}" done="1">
    <x18tc:text xml:space="preserve">POR APROBAR</x18tc:text>
  </x18tc:threadedComment>
  <x18tc:threadedComment ref="I137" dT="2026-10-13T17:45:02.00" personId="{d90a9670-4269-44be-9f7f-d786ab9803b8}" id="{8f12b0e7-c821-438e-8759-1c11d06eb146}" done="1">
    <x18tc:text xml:space="preserve">POR APROBAR</x18tc:text>
  </x18tc:threadedComment>
  <x18tc:threadedComment ref="I108" dT="2026-09-22T14:35:55.00" personId="{d90a9670-4269-44be-9f7f-d786ab9803b8}" id="{63c75632-66fa-4a1f-bfcf-c5945b40871f}" done="1">
    <x18tc:text xml:space="preserve">POR APROBAR</x18tc:text>
  </x18tc:threadedComment>
  <x18tc:threadedComment ref="I94" dT="2026-09-23T12:29:41.00" personId="{c9e3cdaf-6881-4aa9-b721-a78d212c3e74}" id="{38a3590b-e102-414a-88f8-b393d7d0f202}" done="1">
    <x18tc:text xml:space="preserve">listo</x18tc:text>
  </x18tc:threadedComment>
  <x18tc:threadedComment ref="I108" dT="2026-09-23T13:22:24.00" personId="{d90a9670-4269-44be-9f7f-d786ab9803b8}" id="{72166310-eee7-4ce5-ba62-840a031e24b2}" done="1">
    <x18tc:text xml:space="preserve">LISTO</x18tc:text>
  </x18tc:threadedComment>
  <x18tc:threadedComment ref="I110" dT="2026-09-23T13:26:33.00" personId="{d90a9670-4269-44be-9f7f-d786ab9803b8}" id="{19b7c2db-f7a6-4f1c-b701-019aecec820d}" done="1">
    <x18tc:text xml:space="preserve">LISTO</x18tc:text>
  </x18tc:threadedComment>
  <x18tc:threadedComment ref="I109" dT="2026-09-23T13:26:47.00" personId="{d90a9670-4269-44be-9f7f-d786ab9803b8}" id="{47422047-05f0-4b90-bbd9-ea9f1f7dc1e8}" done="1">
    <x18tc:text xml:space="preserve">LISTO</x18tc:text>
  </x18tc:threadedComment>
  <x18tc:threadedComment ref="I102" dT="2026-09-23T17:51:02.00" personId="{c9e3cdaf-6881-4aa9-b721-a78d212c3e74}" id="{f60e7b80-9c71-423b-8327-fd6949064d82}" done="1">
    <x18tc:text xml:space="preserve">listo</x18tc:text>
  </x18tc:threadedComment>
  <x18tc:threadedComment ref="I88" dT="2026-09-23T19:15:00.00" personId="{d90a9670-4269-44be-9f7f-d786ab9803b8}" id="{27e87178-3208-40bb-89b2-b96b0e4648c5}" done="1">
    <x18tc:text xml:space="preserve">POR APROBAR</x18tc:text>
  </x18tc:threadedComment>
  <x18tc:threadedComment ref="I88" dT="2026-09-23T19:20:32.00" personId="{d90a9670-4269-44be-9f7f-d786ab9803b8}" id="{dbb97ccf-5ad2-4d81-9e26-73e75a327a7b}" parentId="{27e87178-3208-40bb-89b2-b96b0e4648c5}">
    <x18tc:text xml:space="preserve">LISTO</x18tc:text>
  </x18tc:threadedComment>
  <x18tc:threadedComment ref="I88" dT="2026-09-23T19:20:41.00" personId="{d90a9670-4269-44be-9f7f-d786ab9803b8}" id="{a9df47d8-247b-4a22-a479-fc222bfde724}" parentId="{27e87178-3208-40bb-89b2-b96b0e4648c5}">
    <x18tc:text xml:space="preserve">@content.creatorerni@gmail.com</x18tc:text>
    <x18tc:mentions>
      <x18tc:mention mentionpersonId="{04ab10db-beb2-4d7d-8c72-75c79fa91207}" mentionId="{7e0a5add-e52c-455f-9194-8525771c01c8}" startIndex="0" length="30"/>
    </x18tc:mentions>
  </x18tc:threadedComment>
  <x18tc:threadedComment ref="I37" dT="2026-08-26T12:36:33.00" personId="{c9e3cdaf-6881-4aa9-b721-a78d212c3e74}" id="{9fbf3629-ba4e-494d-81ef-6f52ec97ab49}" done="1">
    <x18tc:text xml:space="preserve">listo</x18tc:text>
  </x18tc:threadedComment>
  <x18tc:threadedComment ref="I37" dT="2026-08-26T13:01:36.00" personId="{d90a9670-4269-44be-9f7f-d786ab9803b8}" id="{43ce644e-3d16-4a46-999d-8f7f76f651f1}" parentId="{9fbf3629-ba4e-494d-81ef-6f52ec97ab49}">
    <x18tc:text xml:space="preserve">FALTA AGREGAR RIF Y LISTO</x18tc:text>
  </x18tc:threadedComment>
  <x18tc:threadedComment ref="I14" dT="2026-08-26T12:36:58.00" personId="{c9e3cdaf-6881-4aa9-b721-a78d212c3e74}" id="{e7cad992-0225-46ee-98e0-301d50b74b2d}" done="1">
    <x18tc:text xml:space="preserve">listo</x18tc:text>
  </x18tc:threadedComment>
  <x18tc:threadedComment ref="I180" dT="2026-08-26T13:01:19.00" personId="{d90a9670-4269-44be-9f7f-d786ab9803b8}" id="{9e6b1961-70a7-40e3-88a7-a6e65c7f2c80}" done="1">
    <x18tc:text xml:space="preserve">LISTO</x18tc:text>
  </x18tc:threadedComment>
  <x18tc:threadedComment ref="I43" dT="2026-08-26T14:52:12.00" personId="{c9e3cdaf-6881-4aa9-b721-a78d212c3e74}" id="{1b0ae907-5341-431f-86f3-a4eb3456388e}" done="1">
    <x18tc:text xml:space="preserve">LISTO</x18tc:text>
  </x18tc:threadedComment>
  <x18tc:threadedComment ref="I43" dT="2026-08-26T18:21:11.00" personId="{d90a9670-4269-44be-9f7f-d786ab9803b8}" id="{f8b230f4-3184-481d-aef7-487f26d6d8f0}" parentId="{1b0ae907-5341-431f-86f3-a4eb3456388e}">
    <x18tc:text xml:space="preserve">LISTO</x18tc:text>
  </x18tc:threadedComment>
  <x18tc:threadedComment ref="I45" dT="2026-08-27T15:15:15.00" personId="{c9e3cdaf-6881-4aa9-b721-a78d212c3e74}" id="{052366d4-8ed5-450a-a100-0237dd6c11a7}" done="1">
    <x18tc:text xml:space="preserve">listo</x18tc:text>
  </x18tc:threadedComment>
  <x18tc:threadedComment ref="I57" dT="2026-08-28T14:22:04.00" personId="{c9e3cdaf-6881-4aa9-b721-a78d212c3e74}" id="{b34e9c5a-cc35-4711-bc66-1e03d64795db}" done="1">
    <x18tc:text xml:space="preserve">listo</x18tc:text>
  </x18tc:threadedComment>
  <x18tc:threadedComment ref="I57" dT="2026-08-28T18:43:51.00" personId="{d90a9670-4269-44be-9f7f-d786ab9803b8}" id="{1200fc92-a82b-4420-82bc-922e9bbe0060}" done="1">
    <x18tc:text xml:space="preserve">@content.creatorerni@gmail.com LISTO
Asignado a content.creatorerni@gmail.com</x18tc:text>
    <x18tc:mentions>
      <x18tc:mention mentionpersonId="{04ab10db-beb2-4d7d-8c72-75c79fa91207}" mentionId="{251659e5-ace8-409a-8a53-747f24fce16d}" startIndex="0" length="30"/>
    </x18tc:mentions>
  </x18tc:threadedComment>
  <x18tc:threadedComment ref="I46" dT="2026-08-31T19:59:12.00" personId="{c9e3cdaf-6881-4aa9-b721-a78d212c3e74}" id="{2c5531ec-a2dd-4386-9734-02473f641d85}" done="1">
    <x18tc:text xml:space="preserve">LISTO</x18tc:text>
  </x18tc:threadedComment>
  <x18tc:threadedComment ref="I211" dT="2026-09-01T20:37:22.00" personId="{d90a9670-4269-44be-9f7f-d786ab9803b8}" id="{734b12d5-eb04-4995-94d0-1ea117abe2bb}" done="1">
    <x18tc:text xml:space="preserve">POR APROBAR</x18tc:text>
  </x18tc:threadedComment>
  <x18tc:threadedComment ref="I59" dT="2026-09-01T20:37:41.00" personId="{d90a9670-4269-44be-9f7f-d786ab9803b8}" id="{55d97304-7441-4e68-99cb-ab68cc9a67ae}" done="1">
    <x18tc:text xml:space="preserve">LISTO</x18tc:text>
  </x18tc:threadedComment>
  <x18tc:threadedComment ref="I60" dT="2026-09-01T20:37:11.00" personId="{d90a9670-4269-44be-9f7f-d786ab9803b8}" id="{aea18ac2-f3be-4f50-ad9e-c72a4b2b95de}" done="1">
    <x18tc:text xml:space="preserve">POR APROBAR</x18tc:text>
  </x18tc:threadedComment>
  <x18tc:threadedComment ref="I105" dT="2026-09-30T16:26:53.00" personId="{d90a9670-4269-44be-9f7f-d786ab9803b8}" id="{f59d2703-bd48-448e-8e10-250da3e759ee}" done="0">
    <x18tc:text xml:space="preserve">@content.creatorerni@gmail.com cambiar por aprobado</x18tc:text>
    <x18tc:mentions>
      <x18tc:mention mentionpersonId="{04ab10db-beb2-4d7d-8c72-75c79fa91207}" mentionId="{82fdd689-c751-4cef-98ac-8601622f186d}" startIndex="0" length="30"/>
    </x18tc:mentions>
  </x18tc:threadedComment>
  <x18tc:threadedComment ref="I62" dT="2026-09-08T12:56:08.00" personId="{c9e3cdaf-6881-4aa9-b721-a78d212c3e74}" id="{77d51c10-fca9-4ccd-a5f0-773cf1875e03}" done="1">
    <x18tc:text xml:space="preserve">listo</x18tc:text>
  </x18tc:threadedComment>
  <x18tc:threadedComment ref="I62" dT="2026-09-08T13:15:27.00" personId="{d90a9670-4269-44be-9f7f-d786ab9803b8}" id="{f34086f7-629c-40b9-8894-80c149b2bb2d}" parentId="{77d51c10-fca9-4ccd-a5f0-773cf1875e03}">
    <x18tc:text xml:space="preserve">LISTO</x18tc:text>
  </x18tc:threadedComment>
  <x18tc:threadedComment ref="I215" dT="2026-09-08T16:30:01.00" personId="{d90a9670-4269-44be-9f7f-d786ab9803b8}" id="{a7ae15eb-4ea3-4872-8a58-1cb269f36f5e}" done="1">
    <x18tc:text xml:space="preserve">CANCELAR SOLICITUD</x18tc:text>
  </x18tc:threadedComment>
  <x18tc:threadedComment ref="I63" dT="2026-09-09T12:56:49.00" personId="{d90a9670-4269-44be-9f7f-d786ab9803b8}" id="{b577985d-497a-46d8-8157-78a29a4cd8ae}" done="1">
    <x18tc:text xml:space="preserve">listo</x18tc:text>
  </x18tc:threadedComment>
  <x18tc:threadedComment ref="D55" dT="2026-09-10T12:41:38.00" personId="{e52cd5c5-1ecd-47a1-a875-e464ff849ac6}" id="{4ed38bf9-eae7-42a3-bc50-3817f108fc35}" done="1">
    <x18tc:text xml:space="preserve">fernando la fecha de actividad de reprogramo para el viernes 25</x18tc:text>
  </x18tc:threadedComment>
  <x18tc:threadedComment ref="I52" dT="2026-09-09T19:48:30.00" personId="{c9e3cdaf-6881-4aa9-b721-a78d212c3e74}" id="{5199b2d5-11c4-42fe-9fed-2132824d8d23}" done="1">
    <x18tc:text xml:space="preserve">LISTO</x18tc:text>
  </x18tc:threadedComment>
  <x18tc:threadedComment ref="I52" dT="2026-09-10T12:14:23.00" personId="{d90a9670-4269-44be-9f7f-d786ab9803b8}" id="{6ac61762-59c3-4176-9480-fcb5fd9dd812}" parentId="{5199b2d5-11c4-42fe-9fed-2132824d8d23}">
    <x18tc:text xml:space="preserve">LISTO</x18tc:text>
  </x18tc:threadedComment>
  <x18tc:threadedComment ref="I202" dT="2026-09-09T20:04:47.00" personId="{d90a9670-4269-44be-9f7f-d786ab9803b8}" id="{3d51b74a-442b-4af1-909b-5b129007be09}" done="1">
    <x18tc:text xml:space="preserve">POR APROBAR</x18tc:text>
  </x18tc:threadedComment>
  <x18tc:threadedComment ref="I202" dT="2026-09-10T12:59:08.00" personId="{d90a9670-4269-44be-9f7f-d786ab9803b8}" id="{7ffecaeb-f063-465a-b0df-612556ccee8b}" parentId="{3d51b74a-442b-4af1-909b-5b129007be09}">
    <x18tc:text xml:space="preserve">LISTO</x18tc:text>
  </x18tc:threadedComment>
  <x18tc:threadedComment ref="I204" dT="2026-09-09T20:04:55.00" personId="{d90a9670-4269-44be-9f7f-d786ab9803b8}" id="{e6c2fd2e-d8da-404c-ab9e-25e653810adb}" done="1">
    <x18tc:text xml:space="preserve">POR APROBAR</x18tc:text>
  </x18tc:threadedComment>
  <x18tc:threadedComment ref="E74" dT="2026-09-14T18:23:34.00" personId="{d90a9670-4269-44be-9f7f-d786ab9803b8}" id="{68202f34-51b7-4ad4-ac6e-b496707dafbf}" done="1">
    <x18tc:text xml:space="preserve">@content.creatorerni@gmail.com QUITAR LA PARTE DE RRSS POST
Asignado a content.creatorerni@gmail.com</x18tc:text>
    <x18tc:mentions>
      <x18tc:mention mentionpersonId="{04ab10db-beb2-4d7d-8c72-75c79fa91207}" mentionId="{16e67cbd-2842-4f62-afce-027960dea26f}" startIndex="0" length="30"/>
    </x18tc:mentions>
  </x18tc:threadedComment>
  <x18tc:threadedComment ref="I76" dT="2026-09-14T19:22:21.00" personId="{d90a9670-4269-44be-9f7f-d786ab9803b8}" id="{29fe16bd-6df0-4222-98f9-ad80cdf9d12e}" done="1">
    <x18tc:text xml:space="preserve">LISTO</x18tc:text>
  </x18tc:threadedComment>
  <x18tc:threadedComment ref="I75" dT="2026-09-14T19:47:55.00" personId="{d90a9670-4269-44be-9f7f-d786ab9803b8}" id="{afb9b9b6-c052-433f-8e39-ea149afe6952}" done="1">
    <x18tc:text xml:space="preserve">POR APROBAR</x18tc:text>
  </x18tc:threadedComment>
  <x18tc:threadedComment ref="I69" dT="2026-09-14T20:42:44.00" personId="{c9e3cdaf-6881-4aa9-b721-a78d212c3e74}" id="{5ba0ba68-1d31-4b00-9c7d-3d8b209017c3}" done="1">
    <x18tc:text xml:space="preserve">LISTO</x18tc:text>
  </x18tc:threadedComment>
  <x18tc:threadedComment ref="I64" dT="2026-09-14T12:19:11.00" personId="{d90a9670-4269-44be-9f7f-d786ab9803b8}" id="{5855900f-26c6-4eb9-bc04-887e8fe5342a}" done="1">
    <x18tc:text xml:space="preserve">LISTO</x18tc:text>
  </x18tc:threadedComment>
  <x18tc:threadedComment ref="I58" dT="2026-09-14T16:10:19.00" personId="{c9e3cdaf-6881-4aa9-b721-a78d212c3e74}" id="{2fabb2c2-97be-42c4-b13c-0879d97e37dc}" done="1">
    <x18tc:text xml:space="preserve">listo</x18tc:text>
  </x18tc:threadedComment>
  <x18tc:threadedComment ref="I58" dT="2026-09-14T16:42:18.00" personId="{d90a9670-4269-44be-9f7f-d786ab9803b8}" id="{b91d433b-ca40-4b1b-b755-5ecc13fa3319}" done="0">
    <x18tc:text xml:space="preserve">por aprobar</x18tc:text>
  </x18tc:threadedComment>
  <x18tc:threadedComment ref="I65" dT="2026-09-15T12:22:15.00" personId="{d90a9670-4269-44be-9f7f-d786ab9803b8}" id="{1d3bbee7-57a9-4696-b761-8ed34a40e56c}" done="1">
    <x18tc:text xml:space="preserve">@content.creatorerni@gmail.com POR APROBAR
Asignado a content.creatorerni@gmail.com</x18tc:text>
    <x18tc:mentions>
      <x18tc:mention mentionpersonId="{04ab10db-beb2-4d7d-8c72-75c79fa91207}" mentionId="{f7f563d4-e3be-43c5-8457-7b72e540c8ee}" startIndex="0" length="30"/>
    </x18tc:mentions>
  </x18tc:threadedComment>
  <x18tc:threadedComment ref="I65" dT="2026-09-15T13:16:16.00" personId="{d90a9670-4269-44be-9f7f-d786ab9803b8}" id="{72b707c1-a0c0-444c-b7e7-420a294e12d2}" done="1">
    <x18tc:text xml:space="preserve">LISTO</x18tc:text>
  </x18tc:threadedComment>
  <x18tc:threadedComment ref="I75" dT="2026-09-15T16:00:25.00" personId="{d90a9670-4269-44be-9f7f-d786ab9803b8}" id="{e8e3cade-68d5-4e95-bb46-38368c073dcc}" done="1">
    <x18tc:text xml:space="preserve">LISTO</x18tc:text>
  </x18tc:threadedComment>
  <x18tc:threadedComment ref="I78" dT="2026-09-15T18:09:14.00" personId="{d90a9670-4269-44be-9f7f-d786ab9803b8}" id="{51a1e366-be00-4433-9734-de85bdd3c4f7}" done="1">
    <x18tc:text xml:space="preserve">POR APROBAR</x18tc:text>
  </x18tc:threadedComment>
  <x18tc:threadedComment ref="I68" dT="2026-09-16T19:31:38.00" personId="{c9e3cdaf-6881-4aa9-b721-a78d212c3e74}" id="{7d969e95-56b6-4dd6-b920-f056e1e89d65}" done="1">
    <x18tc:text xml:space="preserve">LISTO</x18tc:text>
  </x18tc:threadedComment>
  <x18tc:threadedComment ref="I78" dT="2026-09-16T12:09:35.00" personId="{d90a9670-4269-44be-9f7f-d786ab9803b8}" id="{57fcf5e7-88c9-498a-ba5a-37758298966a}" done="1">
    <x18tc:text xml:space="preserve">LISTO</x18tc:text>
  </x18tc:threadedComment>
  <x18tc:threadedComment ref="I79" dT="2026-09-16T12:09:46.00" personId="{d90a9670-4269-44be-9f7f-d786ab9803b8}" id="{241e40be-e2fb-4fd4-8693-d161b62f4da5}" done="1">
    <x18tc:text xml:space="preserve">POR APROBAR</x18tc:text>
  </x18tc:threadedComment>
  <x18tc:threadedComment ref="I81" dT="2026-09-16T13:36:58.00" personId="{c9e3cdaf-6881-4aa9-b721-a78d212c3e74}" id="{6db4a611-571b-4c59-9813-775bb258942b}" done="1">
    <x18tc:text xml:space="preserve">LISTO</x18tc:text>
  </x18tc:threadedComment>
  <x18tc:threadedComment ref="I74" dT="2026-09-16T13:06:24.00" personId="{c9e3cdaf-6881-4aa9-b721-a78d212c3e74}" id="{fe51b761-cd58-4d22-aabc-586fab6e6265}" done="1">
    <x18tc:text xml:space="preserve">LISTO</x18tc:text>
  </x18tc:threadedComment>
  <x18tc:threadedComment ref="I80" dT="2026-09-21T12:19:33.00" personId="{d90a9670-4269-44be-9f7f-d786ab9803b8}" id="{028b2ed3-92b2-4296-af74-994c6b1f1138}" done="1">
    <x18tc:text xml:space="preserve">CANCELADO</x18tc:text>
  </x18tc:threadedComment>
  <x18tc:threadedComment ref="I73" dT="2026-09-21T12:19:40.00" personId="{d90a9670-4269-44be-9f7f-d786ab9803b8}" id="{c83efafa-b6d0-4fc2-866c-2359f7791f81}" done="1">
    <x18tc:text xml:space="preserve">CANCELADO</x18tc:text>
  </x18tc:threadedComment>
  <x18tc:threadedComment ref="H88" dT="2026-09-21T12:20:15.00" personId="{d90a9670-4269-44be-9f7f-d786ab9803b8}" id="{1680daf4-8262-46c4-b680-8baf6e0c97e0}" done="1">
    <x18tc:text xml:space="preserve">agregar importante</x18tc:text>
  </x18tc:threadedComment>
  <x18tc:threadedComment ref="I104" dT="2026-09-21T15:34:14.00" personId="{c9e3cdaf-6881-4aa9-b721-a78d212c3e74}" id="{26275dfe-47da-4fa2-8d07-c629f27ee421}" done="1">
    <x18tc:text xml:space="preserve">LISTO</x18tc:text>
  </x18tc:threadedComment>
  <x18tc:threadedComment ref="I87" dT="2026-09-28T17:45:07.00" personId="{d90a9670-4269-44be-9f7f-d786ab9803b8}" id="{45000acc-3471-48d5-8661-24af641b4e43}" done="1">
    <x18tc:text xml:space="preserve">LISTO</x18tc:text>
  </x18tc:threadedComment>
  <x18tc:threadedComment ref="I117" dT="2026-10-15T13:31:58.00" personId="{c9e3cdaf-6881-4aa9-b721-a78d212c3e74}" id="{dba301b0-655d-45b4-9a2c-d4e8067f49ef}" done="1">
    <x18tc:text xml:space="preserve">listo</x18tc:text>
  </x18tc:threadedComment>
  <x18tc:threadedComment ref="I117" dT="2026-10-15T13:32:46.00" personId="{d90a9670-4269-44be-9f7f-d786ab9803b8}" id="{ef85e0b2-5916-4f5b-b11a-715dc09c34fa}" parentId="{dba301b0-655d-45b4-9a2c-d4e8067f49ef}">
    <x18tc:text xml:space="preserve">POR APROBAR</x18tc:text>
  </x18tc:threadedComment>
  <x18tc:threadedComment ref="I116" dT="2026-10-19T13:51:15.00" personId="{c9e3cdaf-6881-4aa9-b721-a78d212c3e74}" id="{c0b3c0aa-f534-4bbd-8aec-fb41f38d5ae7}" done="1">
    <x18tc:text xml:space="preserve">LISTO</x18tc:text>
  </x18tc:threadedComment>
  <x18tc:threadedComment ref="I118" dT="2026-10-16T13:57:40.00" personId="{d90a9670-4269-44be-9f7f-d786ab9803b8}" id="{32ae2bf4-9b47-4511-a754-708f38536980}" done="1">
    <x18tc:text xml:space="preserve">LISTO</x18tc:text>
  </x18tc:threadedComment>
  <x18tc:threadedComment ref="I241" dT="2026-10-16T13:57:47.00" personId="{d90a9670-4269-44be-9f7f-d786ab9803b8}" id="{ca34e0c7-217e-4c79-8f9e-fca2324bc5c1}" done="1">
    <x18tc:text xml:space="preserve">por aprobar</x18tc:text>
  </x18tc:threadedComment>
  <x18tc:threadedComment ref="I241" dT="2026-10-16T15:27:16.00" personId="{d90a9670-4269-44be-9f7f-d786ab9803b8}" id="{8fbb3824-cf29-4395-aa53-db33f71a612c}" parentId="{ca34e0c7-217e-4c79-8f9e-fca2324bc5c1}">
    <x18tc:text xml:space="preserve">listooo</x18tc:text>
  </x18tc:threadedComment>
  <x18tc:threadedComment ref="I141" dT="2026-10-16T12:21:58.00" personId="{c9e3cdaf-6881-4aa9-b721-a78d212c3e74}" id="{0c8f4de7-9867-4ecd-88bb-9d6413c4de71}" done="1">
    <x18tc:text xml:space="preserve">listo</x18tc:text>
  </x18tc:threadedComment>
  <x18tc:threadedComment ref="I116" dT="2026-10-19T18:27:50.00" personId="{d90a9670-4269-44be-9f7f-d786ab9803b8}" id="{230d4c19-ebe1-4d25-b9b4-5d2b1971d89e}" done="1">
    <x18tc:text xml:space="preserve">LISTO</x18tc:text>
  </x18tc:threadedComment>
  <x18tc:threadedComment ref="I236" dT="2026-10-19T18:27:59.00" personId="{d90a9670-4269-44be-9f7f-d786ab9803b8}" id="{54448340-0c7c-45cb-bd97-ed5b3bad4db9}" done="1">
    <x18tc:text xml:space="preserve">listo</x18tc:text>
  </x18tc:threadedComment>
  <x18tc:threadedComment ref="D238" dT="2026-10-19T18:29:12.00" personId="{d90a9670-4269-44be-9f7f-d786ab9803b8}" id="{47cb9183-9508-4faa-9d09-f4ca5e1dc2b1}" done="1">
    <x18tc:text xml:space="preserve">https://trello.com/c/QNjGtf6x</x18tc:text>
    <x18tc:extLst>
      <ext uri="{F7C98A9C-CBB3-438F-8F68-D28B6AF4A901}">
        <xltc2:checksum/>
        <xltc2:hyperlink startIndex="0" length="29" url="https://trello.com/c/QNjGtf6x"/>
      </ext>
    </x18tc:extLst>
  </x18tc:threadedComment>
  <x18tc:threadedComment ref="I131" dT="2026-10-19T18:30:25.00" personId="{d90a9670-4269-44be-9f7f-d786ab9803b8}" id="{005a8c45-989e-4bb0-8b77-c8640c246304}" done="1">
    <x18tc:text xml:space="preserve">LISTO</x18tc:text>
  </x18tc:threadedComment>
  <x18tc:threadedComment ref="I233" dT="2026-10-19T20:29:16.00" personId="{d90a9670-4269-44be-9f7f-d786ab9803b8}" id="{fa20eef8-6e66-43d5-b76f-f7a1c8eb0759}" done="1">
    <x18tc:text xml:space="preserve">por aprobar</x18tc:text>
  </x18tc:threadedComment>
  <x18tc:threadedComment ref="I121" dT="2026-10-05T15:31:54.00" personId="{c9e3cdaf-6881-4aa9-b721-a78d212c3e74}" id="{c236e548-42d9-4f8d-9794-4206cff9a708}" done="1">
    <x18tc:text xml:space="preserve">LISTO</x18tc:text>
  </x18tc:threadedComment>
  <x18tc:threadedComment ref="I83" dT="2026-10-05T19:20:40.00" personId="{c9e3cdaf-6881-4aa9-b721-a78d212c3e74}" id="{fba972a0-157f-4b74-81a6-5b29b3bd6cd1}" done="1">
    <x18tc:text xml:space="preserve">listo</x18tc:text>
  </x18tc:threadedComment>
  <x18tc:threadedComment ref="I221" dT="2026-10-08T20:52:36.00" personId="{d90a9670-4269-44be-9f7f-d786ab9803b8}" id="{02e6df9c-2eb7-43f6-b390-fb62556d3242}" done="1">
    <x18tc:text xml:space="preserve">LISTO</x18tc:text>
  </x18tc:threadedComment>
  <x18tc:threadedComment ref="I119" dT="2026-10-08T13:34:43.00" personId="{d90a9670-4269-44be-9f7f-d786ab9803b8}" id="{bf38f808-3762-4709-b5c0-c4812942fb5d}" done="0">
    <x18tc:text xml:space="preserve">LISTO</x18tc:text>
  </x18tc:threadedComment>
  <x18tc:threadedComment ref="F220" dT="2026-10-08T13:44:01.00" personId="{d90a9670-4269-44be-9f7f-d786ab9803b8}" id="{4dccf138-318f-458f-95e7-1cec11cb43c0}" done="1">
    <x18tc:text xml:space="preserve">reedirecionar a johana</x18tc:text>
  </x18tc:threadedComment>
  <x18tc:threadedComment ref="F221" dT="2026-10-08T13:44:13.00" personId="{d90a9670-4269-44be-9f7f-d786ab9803b8}" id="{c9f5ef61-5c44-4d5d-9f8b-fce6d1b4091a}" done="1">
    <x18tc:text xml:space="preserve">reedirecionar a johana</x18tc:text>
  </x18tc:threadedComment>
  <x18tc:threadedComment ref="A220" dT="2026-10-08T13:44:40.00" personId="{d90a9670-4269-44be-9f7f-d786ab9803b8}" id="{d48ab26f-4014-49a9-9d8e-4a6728c9fbc3}" done="1">
    <x18tc:text xml:space="preserve">Cambiar fecha a 8/10</x18tc:text>
  </x18tc:threadedComment>
  <x18tc:threadedComment ref="A221" dT="2026-10-08T13:44:45.00" personId="{d90a9670-4269-44be-9f7f-d786ab9803b8}" id="{a5b160dd-ab0a-4a39-9791-e3897aa09aaf}" done="1">
    <x18tc:text xml:space="preserve">Cambiar fecha a 8/10</x18tc:text>
  </x18tc:threadedComment>
  <x18tc:threadedComment ref="I115" dT="2026-10-08T13:51:53.00" personId="{d90a9670-4269-44be-9f7f-d786ab9803b8}" id="{ac9476a6-8109-421c-bb94-939d83b70969}" done="0">
    <x18tc:text xml:space="preserve">POR APROBAR</x18tc:text>
  </x18tc:threadedComment>
  <x18tc:threadedComment ref="I115" dT="2026-10-08T14:02:01.00" personId="{d90a9670-4269-44be-9f7f-d786ab9803b8}" id="{dd65762a-34e8-432a-962c-87fb2f9eee35}" parentId="{ac9476a6-8109-421c-bb94-939d83b70969}">
    <x18tc:text xml:space="preserve">LISTO</x18tc:text>
  </x18tc:threadedComment>
  <x18tc:threadedComment ref="F115" dT="2026-10-08T13:56:56.00" personId="{d90a9670-4269-44be-9f7f-d786ab9803b8}" id="{5f0cf36b-96dc-4e27-b12e-6474a0fa49b9}" done="1">
    <x18tc:text xml:space="preserve">reedirecionar a johanna</x18tc:text>
  </x18tc:threadedComment>
  <x18tc:threadedComment ref="F225" dT="2026-10-08T13:57:07.00" personId="{d90a9670-4269-44be-9f7f-d786ab9803b8}" id="{3ed341f0-5c37-4218-8346-89258574d6ed}" done="1">
    <x18tc:text xml:space="preserve">reedirecionar a johanna</x18tc:text>
  </x18tc:threadedComment>
  <x18tc:threadedComment ref="F222" dT="2026-10-08T13:57:13.00" personId="{d90a9670-4269-44be-9f7f-d786ab9803b8}" id="{44f5980d-db7b-48f6-8761-4d02392262d2}" done="1">
    <x18tc:text xml:space="preserve">reedirecionar a johanna</x18tc:text>
  </x18tc:threadedComment>
  <x18tc:threadedComment ref="F223" dT="2026-10-08T13:57:17.00" personId="{d90a9670-4269-44be-9f7f-d786ab9803b8}" id="{16cd84fa-1d22-48dc-99e7-f60ff6e463fe}" done="1">
    <x18tc:text xml:space="preserve">reedirecionar a johanna</x18tc:text>
  </x18tc:threadedComment>
  <x18tc:threadedComment ref="F219" dT="2026-10-08T13:57:31.00" personId="{d90a9670-4269-44be-9f7f-d786ab9803b8}" id="{164499ac-0cdc-4497-9740-8988f9ca5955}" done="1">
    <x18tc:text xml:space="preserve">reedirecionar a johanna</x18tc:text>
  </x18tc:threadedComment>
  <x18tc:threadedComment ref="F224" dT="2026-10-08T13:58:03.00" personId="{d90a9670-4269-44be-9f7f-d786ab9803b8}" id="{e92de04f-4b38-483d-b5c8-f267e1ffc7a8}" done="1">
    <x18tc:text xml:space="preserve">reedirecionar a johanna</x18tc:text>
  </x18tc:threadedComment>
  <x18tc:threadedComment ref="B116" dT="2026-10-08T15:22:22.00" personId="{d90a9670-4269-44be-9f7f-d786ab9803b8}" id="{376af125-be03-41c2-be8d-a5b4279e5526}" done="1">
    <x18tc:text xml:space="preserve">Cambiar al 16</x18tc:text>
  </x18tc:threadedComment>
  <x18tc:threadedComment ref="I126" dT="2026-10-08T14:59:12.00" personId="{c9e3cdaf-6881-4aa9-b721-a78d212c3e74}" id="{ff74638d-7f58-4f7e-8b01-ea5d52fb5acc}" done="1">
    <x18tc:text xml:space="preserve">listo</x18tc:text>
  </x18tc:threadedComment>
  <x18tc:threadedComment ref="B227" dT="2026-10-08T15:26:34.00" personId="{d90a9670-4269-44be-9f7f-d786ab9803b8}" id="{b0bc6402-39dd-42a2-b7a6-c9d1b707038a}" done="1">
    <x18tc:text xml:space="preserve">cambiar al 16
@content.creatorerni@gmail.com
Asignado a content.creatorerni@gmail.com</x18tc:text>
    <x18tc:mentions>
      <x18tc:mention mentionpersonId="{04ab10db-beb2-4d7d-8c72-75c79fa91207}" mentionId="{940c1a08-2bdb-4b67-ba84-6376a2517b7e}" startIndex="14" length="30"/>
    </x18tc:mentions>
  </x18tc:threadedComment>
  <x18tc:threadedComment ref="I221" dT="2026-10-08T18:20:21.00" personId="{d90a9670-4269-44be-9f7f-d786ab9803b8}" id="{745f9371-fd03-4dd3-8c35-14e97294f880}" done="1">
    <x18tc:text xml:space="preserve">por aprobar @content.creatorerni@gmail.com
Asignado a content.creatorerni@gmail.com</x18tc:text>
    <x18tc:mentions>
      <x18tc:mention mentionpersonId="{04ab10db-beb2-4d7d-8c72-75c79fa91207}" mentionId="{3e515313-4590-4dfa-bef4-4c87d8970981}" startIndex="12" length="30"/>
    </x18tc:mentions>
  </x18tc:threadedComment>
  <x18tc:threadedComment ref="I71" dT="2026-10-08T19:34:07.00" personId="{c9e3cdaf-6881-4aa9-b721-a78d212c3e74}" id="{09bc2190-a636-4357-a872-149110be5d5a}" done="1">
    <x18tc:text xml:space="preserve">listo</x18tc:text>
  </x18tc:threadedComment>
  <x18tc:threadedComment ref="I71" dT="2026-10-08T20:14:20.00" personId="{d90a9670-4269-44be-9f7f-d786ab9803b8}" id="{c646b42e-3dc7-429f-a4c2-27df45aba120}" parentId="{09bc2190-a636-4357-a872-149110be5d5a}">
    <x18tc:text xml:space="preserve">POR APROBAR</x18tc:text>
  </x18tc:threadedComment>
  <x18tc:threadedComment ref="I71" dT="2026-10-08T20:52:45.00" personId="{d90a9670-4269-44be-9f7f-d786ab9803b8}" id="{f6ef4c1e-e82c-46a2-adc0-3cf143572478}" parentId="{09bc2190-a636-4357-a872-149110be5d5a}">
    <x18tc:text xml:space="preserve">LISTO</x18tc:text>
  </x18tc:threadedComment>
  <x18tc:threadedComment ref="I130" dT="2026-10-07T12:24:21.00" personId="{d90a9670-4269-44be-9f7f-d786ab9803b8}" id="{18100fe6-effd-4832-9b26-ac3558a16cf8}" done="1">
    <x18tc:text xml:space="preserve">LISTO</x18tc:text>
  </x18tc:threadedComment>
  <x18tc:threadedComment ref="I125" dT="2026-10-06T19:40:23.00" personId="{d90a9670-4269-44be-9f7f-d786ab9803b8}" id="{4b7ac84e-6f3b-4432-b0b0-2d0d7bb45c79}" done="1">
    <x18tc:text xml:space="preserve">LISTOO</x18tc:text>
  </x18tc:threadedComment>
  <x18tc:threadedComment ref="I114" dT="2026-10-06T20:22:07.00" personId="{c9e3cdaf-6881-4aa9-b721-a78d212c3e74}" id="{77952cba-2aa1-4906-91ce-3e2795a65cfc}" done="1">
    <x18tc:text xml:space="preserve">listo</x18tc:text>
  </x18tc:threadedComment>
  <x18tc:threadedComment ref="I125" dT="2026-10-06T13:34:21.00" personId="{d90a9670-4269-44be-9f7f-d786ab9803b8}" id="{63b1e89b-71e7-41bb-b96e-098496089e32}" done="1">
    <x18tc:text xml:space="preserve">POR APROBACION</x18tc:text>
  </x18tc:threadedComment>
  <x18tc:threadedComment ref="I133" dT="2026-10-09T13:39:23.00" personId="{d90a9670-4269-44be-9f7f-d786ab9803b8}" id="{31300c35-376b-49df-baf6-9bb9f8074444}" done="1">
    <x18tc:text xml:space="preserve">por aprobar</x18tc:text>
  </x18tc:threadedComment>
  <x18tc:threadedComment ref="I133" dT="2026-10-09T15:23:55.00" personId="{d90a9670-4269-44be-9f7f-d786ab9803b8}" id="{a5437831-75b3-4617-8df4-7f27de14d7e2}" done="1">
    <x18tc:text xml:space="preserve">LISTO</x18tc:text>
  </x18tc:threadedComment>
  <x18tc:threadedComment ref="I132" dT="2026-10-09T17:58:30.00" personId="{c9e3cdaf-6881-4aa9-b721-a78d212c3e74}" id="{db00e084-0b17-4c50-9339-b279ae13fa88}" done="1">
    <x18tc:text xml:space="preserve">listo</x18tc:text>
  </x18tc:threadedComment>
  <x18tc:threadedComment ref="I136" dT="2026-10-13T19:38:45.00" personId="{d90a9670-4269-44be-9f7f-d786ab9803b8}" id="{ee6ecc72-7294-43aa-8046-71aa1c30e6d7}" done="1">
    <x18tc:text xml:space="preserve">LISTO</x18tc:text>
  </x18tc:threadedComment>
  <x18tc:threadedComment ref="I137" dT="2026-10-13T19:38:54.00" personId="{d90a9670-4269-44be-9f7f-d786ab9803b8}" id="{18687c92-23a7-4d2c-8e04-68869bdfcbc2}" done="1">
    <x18tc:text xml:space="preserve">LISTO</x18tc:text>
  </x18tc:threadedComment>
  <x18tc:threadedComment ref="I72" dT="2026-10-13T19:39:03.00" personId="{d90a9670-4269-44be-9f7f-d786ab9803b8}" id="{32b78d9b-e0c8-4397-b440-56a1496712a9}" done="1">
    <x18tc:text xml:space="preserve">LISTO</x18tc:text>
  </x18tc:threadedComment>
  <x18tc:threadedComment ref="I138" dT="2026-10-14T12:47:11.00" personId="{d90a9670-4269-44be-9f7f-d786ab9803b8}" id="{b9e8b265-2c87-42d6-a4ad-dd52b1427f05}" done="1">
    <x18tc:text xml:space="preserve">POR APROBRAR</x18tc:text>
  </x18tc:threadedComment>
  <x18tc:threadedComment ref="I138" dT="2026-10-14T15:05:24.00" personId="{c9e3cdaf-6881-4aa9-b721-a78d212c3e74}" id="{643a2da5-6656-45f3-91e0-fb2a8d6e4247}" done="0">
    <x18tc:text xml:space="preserve">listo</x18tc:text>
  </x18tc:threadedComment>
  <x18tc:threadedComment ref="I129" dT="2026-10-14T16:11:39.00" personId="{c9e3cdaf-6881-4aa9-b721-a78d212c3e74}" id="{9c708bf3-ec03-4047-9b31-c9deacf16ca7}" done="1">
    <x18tc:text xml:space="preserve">listo</x18tc:text>
  </x18tc:threadedComment>
  <x18tc:threadedComment ref="I129" dT="2026-10-15T13:11:40.00" personId="{d90a9670-4269-44be-9f7f-d786ab9803b8}" id="{fe0c8a0d-64ed-42f1-8082-6752862054a3}" parentId="{9c708bf3-ec03-4047-9b31-c9deacf16ca7}">
    <x18tc:text xml:space="preserve">LISTO</x18tc:text>
  </x18tc:threadedComment>
  <x18tc:threadedComment ref="C139" dT="2026-10-14T16:40:07.00" personId="{d90a9670-4269-44be-9f7f-d786ab9803b8}" id="{0537b882-3ba0-4bea-babf-0d27aaef8e48}" done="1">
    <x18tc:text xml:space="preserve">Agregar al inicio el Contenido -</x18tc:text>
  </x18tc:threadedComment>
  <x18tc:threadedComment ref="D240" dT="2026-10-14T16:36:42.00" personId="{d90a9670-4269-44be-9f7f-d786ab9803b8}" id="{6dee1859-53e0-45f2-8f37-809fae4fac6b}" done="1">
    <x18tc:text xml:space="preserve">https://trello.com/c/8ZdKKGye</x18tc:text>
    <x18tc:extLst>
      <ext uri="{F7C98A9C-CBB3-438F-8F68-D28B6AF4A901}">
        <xltc2:checksum/>
        <xltc2:hyperlink startIndex="0" length="29" url="https://trello.com/c/8ZdKKGye"/>
      </ext>
    </x18tc:extLst>
  </x18tc:threadedComment>
  <x18tc:threadedComment ref="D139" dT="2026-10-14T16:37:09.00" personId="{d90a9670-4269-44be-9f7f-d786ab9803b8}" id="{7a75ab88-d9c9-4aab-a26f-3a4798a28ea3}" done="1">
    <x18tc:text xml:space="preserve">https://trello.com/c/cj6TNAXm</x18tc:text>
    <x18tc:extLst>
      <ext uri="{F7C98A9C-CBB3-438F-8F68-D28B6AF4A901}">
        <xltc2:checksum/>
        <xltc2:hyperlink startIndex="0" length="29" url="https://trello.com/c/cj6TNAXm"/>
      </ext>
    </x18tc:extLst>
  </x18tc:threadedComment>
  <x18tc:threadedComment ref="I142" dT="2026-10-21T12:25:07.00" personId="{c9e3cdaf-6881-4aa9-b721-a78d212c3e74}" id="{99f27365-0c67-44ae-9df0-009bd5fc4d7c}" done="1">
    <x18tc:text xml:space="preserve">listo</x18tc:text>
  </x18tc:threadedComment>
  <x18tc:threadedComment ref="I244" dT="2026-10-21T19:41:15.00" personId="{d90a9670-4269-44be-9f7f-d786ab9803b8}" id="{bcfa1adc-339e-4d14-abda-42f5adc5e1f8}" done="1">
    <x18tc:text xml:space="preserve">POR APROBAR</x18tc:text>
  </x18tc:threadedComment>
  <x18tc:threadedComment ref="I227" dT="2026-10-21T19:41:23.00" personId="{d90a9670-4269-44be-9f7f-d786ab9803b8}" id="{85f06efe-be97-4f71-86e1-aff367bb7e6f}" done="1">
    <x18tc:text xml:space="preserve">EN CURSO</x18tc:text>
  </x18tc:threadedComment>
  <x18tc:threadedComment ref="I134" dT="2026-10-22T14:22:36.00" personId="{c9e3cdaf-6881-4aa9-b721-a78d212c3e74}" id="{83897b33-7824-439b-89c7-48d8dc54eed4}" done="1">
    <x18tc:text xml:space="preserve">listo</x18tc:text>
  </x18tc:threadedComment>
  <x18tc:threadedComment ref="I264" dT="2026-10-23T16:15:09.00" personId="{c9e3cdaf-6881-4aa9-b721-a78d212c3e74}" id="{81be1850-df73-4d4c-954e-66da669447f2}" done="1">
    <x18tc:text xml:space="preserve">lusto</x18tc:text>
  </x18tc:threadedComment>
  <x18tc:threadedComment ref="I139" dT="2026-10-26T13:29:06.00" personId="{c9e3cdaf-6881-4aa9-b721-a78d212c3e74}" id="{c8a4a347-3ef9-4186-89d2-48d160086286}" done="0">
    <x18tc:text xml:space="preserve">LISTO</x18tc:text>
  </x18tc:threadedComment>
  <x18tc:threadedComment ref="I258" dT="2026-10-22T14:22:48.00" personId="{c9e3cdaf-6881-4aa9-b721-a78d212c3e74}" id="{c262ddb8-b92c-4d7e-9a85-45c88da01149}" done="1">
    <x18tc:text xml:space="preserve">listo</x18tc:text>
  </x18tc:threadedComment>
  <x18tc:threadedComment ref="I140" dT="2026-10-23T12:57:30.00" personId="{d90a9670-4269-44be-9f7f-d786ab9803b8}" id="{d72467e6-4c0e-4332-afab-afca5dfc3e22}" done="1">
    <x18tc:text xml:space="preserve">LISTO</x18tc:text>
  </x18tc:threadedComment>
  <x18tc:threadedComment ref="I135" dT="2026-10-23T16:14:48.00" personId="{c9e3cdaf-6881-4aa9-b721-a78d212c3e74}" id="{e89e31b8-20ff-408d-ba12-d9fe1263ecfd}" done="1">
    <x18tc:text xml:space="preserve">listo</x18tc:text>
  </x18tc:threadedComment>
  <x18tc:threadedComment ref="I229" dT="2026-10-23T12:57:22.00" personId="{d90a9670-4269-44be-9f7f-d786ab9803b8}" id="{86319c59-32d2-43af-98f5-73dae9d3b203}" done="1">
    <x18tc:text xml:space="preserve">LISTO</x18tc:text>
  </x18tc:threadedComment>
  <x18tc:threadedComment ref="I261" dT="2026-10-23T13:57:29.00" personId="{d90a9670-4269-44be-9f7f-d786ab9803b8}" id="{cfa8d182-b29c-4a82-992b-dc87f71d9773}" done="1">
    <x18tc:text xml:space="preserve">LISTO</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mailto:content.creatorerni@gmail.com" TargetMode="External"/><Relationship Id="rId194" Type="http://schemas.openxmlformats.org/officeDocument/2006/relationships/hyperlink" Target="mailto:rcrespokromimarket@gmail.com" TargetMode="External"/><Relationship Id="rId193" Type="http://schemas.openxmlformats.org/officeDocument/2006/relationships/hyperlink" Target="https://trello.com/c/2UJbhqyM" TargetMode="External"/><Relationship Id="rId192" Type="http://schemas.openxmlformats.org/officeDocument/2006/relationships/hyperlink" Target="mailto:content.creatorerni@gmail.com" TargetMode="External"/><Relationship Id="rId191" Type="http://schemas.openxmlformats.org/officeDocument/2006/relationships/hyperlink" Target="mailto:content.creatorerni@gmail.com" TargetMode="External"/><Relationship Id="rId187" Type="http://schemas.openxmlformats.org/officeDocument/2006/relationships/hyperlink" Target="mailto:content.creatorerni@gmail.com" TargetMode="External"/><Relationship Id="rId186" Type="http://schemas.openxmlformats.org/officeDocument/2006/relationships/hyperlink" Target="mailto:rcrespokromimarket@gmail.com" TargetMode="External"/><Relationship Id="rId185" Type="http://schemas.openxmlformats.org/officeDocument/2006/relationships/hyperlink" Target="https://drive.google.com/open?id=1ucAXes18IRYGC1ehazJdDrcDEU3bTojn" TargetMode="External"/><Relationship Id="rId184" Type="http://schemas.openxmlformats.org/officeDocument/2006/relationships/hyperlink" Target="mailto:content.creatorerni@gmail.com" TargetMode="External"/><Relationship Id="rId189" Type="http://schemas.openxmlformats.org/officeDocument/2006/relationships/hyperlink" Target="mailto:rcrespokromimarket@gmail.com" TargetMode="External"/><Relationship Id="rId188" Type="http://schemas.openxmlformats.org/officeDocument/2006/relationships/hyperlink" Target="mailto:rcrespokromimarket@gmail.com" TargetMode="External"/><Relationship Id="rId183" Type="http://schemas.openxmlformats.org/officeDocument/2006/relationships/hyperlink" Target="mailto:juan.kromimarket@gmail.com" TargetMode="External"/><Relationship Id="rId182" Type="http://schemas.openxmlformats.org/officeDocument/2006/relationships/hyperlink" Target="mailto:rcrespokromimarket@gmail.com" TargetMode="External"/><Relationship Id="rId181" Type="http://schemas.openxmlformats.org/officeDocument/2006/relationships/hyperlink" Target="https://trello.com/c/vQZGNRSl" TargetMode="External"/><Relationship Id="rId180" Type="http://schemas.openxmlformats.org/officeDocument/2006/relationships/hyperlink" Target="mailto:rcrespokromimarket@gmail.com" TargetMode="External"/><Relationship Id="rId176" Type="http://schemas.openxmlformats.org/officeDocument/2006/relationships/hyperlink" Target="mailto:rcrespokromimarket@gmail.com" TargetMode="External"/><Relationship Id="rId297" Type="http://schemas.openxmlformats.org/officeDocument/2006/relationships/hyperlink" Target="mailto:content.creatorerni@gmail.com" TargetMode="External"/><Relationship Id="rId175" Type="http://schemas.openxmlformats.org/officeDocument/2006/relationships/hyperlink" Target="https://trello.com/c/DtBJnp0Z" TargetMode="External"/><Relationship Id="rId296" Type="http://schemas.openxmlformats.org/officeDocument/2006/relationships/hyperlink" Target="mailto:rcrespokromimarket@gmail.com" TargetMode="External"/><Relationship Id="rId174" Type="http://schemas.openxmlformats.org/officeDocument/2006/relationships/hyperlink" Target="https://drive.google.com/open?id=1zmCgTJcCtezOQzr4mD7wnZ9CgedG9x6L" TargetMode="External"/><Relationship Id="rId295" Type="http://schemas.openxmlformats.org/officeDocument/2006/relationships/hyperlink" Target="mailto:rcrespokromimarket@gmail.com" TargetMode="External"/><Relationship Id="rId173" Type="http://schemas.openxmlformats.org/officeDocument/2006/relationships/hyperlink" Target="mailto:fabiana.kromimarket@gmail.com" TargetMode="External"/><Relationship Id="rId294" Type="http://schemas.openxmlformats.org/officeDocument/2006/relationships/hyperlink" Target="https://trello.com/c/pyH0YB7v/443-febrilix-grip-kimiceg" TargetMode="External"/><Relationship Id="rId179" Type="http://schemas.openxmlformats.org/officeDocument/2006/relationships/hyperlink" Target="https://trello.com/c/5VaZvHtk" TargetMode="External"/><Relationship Id="rId178" Type="http://schemas.openxmlformats.org/officeDocument/2006/relationships/hyperlink" Target="mailto:rcrespokromimarket@gmail.com" TargetMode="External"/><Relationship Id="rId299" Type="http://schemas.openxmlformats.org/officeDocument/2006/relationships/hyperlink" Target="mailto:rcrespokromimarket@gmail.com" TargetMode="External"/><Relationship Id="rId177" Type="http://schemas.openxmlformats.org/officeDocument/2006/relationships/hyperlink" Target="https://trello.com/c/LV7R8O8a" TargetMode="External"/><Relationship Id="rId298" Type="http://schemas.openxmlformats.org/officeDocument/2006/relationships/hyperlink" Target="https://drive.google.com/open?id=1vYkai-rUOI3nNzbiQY5UUD_OnpHTDi0v" TargetMode="External"/><Relationship Id="rId198" Type="http://schemas.openxmlformats.org/officeDocument/2006/relationships/hyperlink" Target="https://trello.com/c/HDDKAC3X/489-como-llegar-a-la-tienda-san-felipe" TargetMode="External"/><Relationship Id="rId197" Type="http://schemas.openxmlformats.org/officeDocument/2006/relationships/hyperlink" Target="mailto:rcrespokromimarket@gmail.com" TargetMode="External"/><Relationship Id="rId196" Type="http://schemas.openxmlformats.org/officeDocument/2006/relationships/hyperlink" Target="mailto:echacon.kromimarket@gmail.com" TargetMode="External"/><Relationship Id="rId195" Type="http://schemas.openxmlformats.org/officeDocument/2006/relationships/hyperlink" Target="mailto:furdanetakromimarket@gmail.com" TargetMode="External"/><Relationship Id="rId199" Type="http://schemas.openxmlformats.org/officeDocument/2006/relationships/hyperlink" Target="mailto:rcrespokromimarket@gmail.com" TargetMode="External"/><Relationship Id="rId150" Type="http://schemas.openxmlformats.org/officeDocument/2006/relationships/hyperlink" Target="mailto:content.creatorerni@gmail.com" TargetMode="External"/><Relationship Id="rId271" Type="http://schemas.openxmlformats.org/officeDocument/2006/relationships/hyperlink" Target="mailto:content.creatorerni@gmail.com" TargetMode="External"/><Relationship Id="rId392" Type="http://schemas.openxmlformats.org/officeDocument/2006/relationships/hyperlink" Target="https://drive.google.com/drive/folders/1TL1DO4BZxciQ4tenCgj6E6qTW93BB0Xb?usp=drive_link" TargetMode="External"/><Relationship Id="rId270" Type="http://schemas.openxmlformats.org/officeDocument/2006/relationships/hyperlink" Target="mailto:echacon.kromimarket@gmail.com" TargetMode="External"/><Relationship Id="rId391" Type="http://schemas.openxmlformats.org/officeDocument/2006/relationships/hyperlink" Target="mailto:content.creatorerni@gmail.com" TargetMode="External"/><Relationship Id="rId390" Type="http://schemas.openxmlformats.org/officeDocument/2006/relationships/hyperlink" Target="mailto:content.creatorerni@gmail.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trello.com/c/QJiFRaD7/7-la-monserratina" TargetMode="External"/><Relationship Id="rId4" Type="http://schemas.openxmlformats.org/officeDocument/2006/relationships/hyperlink" Target="https://trello.com/c/T5wd5eSK/417-d%C3%ADa-internacional-de-la-obstetricia-y-de-la-embarazada" TargetMode="External"/><Relationship Id="rId148" Type="http://schemas.openxmlformats.org/officeDocument/2006/relationships/hyperlink" Target="mailto:content.creatorerni@gmail.com" TargetMode="External"/><Relationship Id="rId269" Type="http://schemas.openxmlformats.org/officeDocument/2006/relationships/hyperlink" Target="mailto:content.creatorerni@gmail.com" TargetMode="External"/><Relationship Id="rId9" Type="http://schemas.openxmlformats.org/officeDocument/2006/relationships/hyperlink" Target="mailto:rcrespokromimarket@gmail.com" TargetMode="External"/><Relationship Id="rId143" Type="http://schemas.openxmlformats.org/officeDocument/2006/relationships/hyperlink" Target="mailto:rcrespokromimarket@gmail.com" TargetMode="External"/><Relationship Id="rId264" Type="http://schemas.openxmlformats.org/officeDocument/2006/relationships/hyperlink" Target="https://trello.com/c/q5zetvbs/28-banner-web-evento-mini-chef" TargetMode="External"/><Relationship Id="rId385" Type="http://schemas.openxmlformats.org/officeDocument/2006/relationships/hyperlink" Target="mailto:alejandramedina46@gmail.com" TargetMode="External"/><Relationship Id="rId142" Type="http://schemas.openxmlformats.org/officeDocument/2006/relationships/hyperlink" Target="https://trello.com/c/DtBJnp0Z" TargetMode="External"/><Relationship Id="rId263" Type="http://schemas.openxmlformats.org/officeDocument/2006/relationships/hyperlink" Target="mailto:rcrespokromimarket@gmail.com" TargetMode="External"/><Relationship Id="rId384" Type="http://schemas.openxmlformats.org/officeDocument/2006/relationships/hyperlink" Target="mailto:alejandramedina46@gmail.com" TargetMode="External"/><Relationship Id="rId141" Type="http://schemas.openxmlformats.org/officeDocument/2006/relationships/hyperlink" Target="mailto:rcrespokromimarket@gmail.com" TargetMode="External"/><Relationship Id="rId262" Type="http://schemas.openxmlformats.org/officeDocument/2006/relationships/hyperlink" Target="https://trello.com/c/w1fH7rHo/426-3-consejos-para-tu-lactancia" TargetMode="External"/><Relationship Id="rId383" Type="http://schemas.openxmlformats.org/officeDocument/2006/relationships/hyperlink" Target="https://drive.google.com/open?id=1TJsZFJH-mftO8ZvmNeT09ei7Z7L_UkdR" TargetMode="External"/><Relationship Id="rId140" Type="http://schemas.openxmlformats.org/officeDocument/2006/relationships/hyperlink" Target="https://trello.com/c/i2Cgn3iu" TargetMode="External"/><Relationship Id="rId261" Type="http://schemas.openxmlformats.org/officeDocument/2006/relationships/hyperlink" Target="mailto:rcrespokromimarket@gmail.com" TargetMode="External"/><Relationship Id="rId382" Type="http://schemas.openxmlformats.org/officeDocument/2006/relationships/hyperlink" Target="mailto:echacon.kromimarket@gmail.com" TargetMode="External"/><Relationship Id="rId5" Type="http://schemas.openxmlformats.org/officeDocument/2006/relationships/hyperlink" Target="mailto:rcrespokromimarket@gmail.com" TargetMode="External"/><Relationship Id="rId147" Type="http://schemas.openxmlformats.org/officeDocument/2006/relationships/hyperlink" Target="mailto:content.creatorerni@gmail.com" TargetMode="External"/><Relationship Id="rId268" Type="http://schemas.openxmlformats.org/officeDocument/2006/relationships/hyperlink" Target="https://trello.com/c/3WG8FPKE/17-%C3%BAltimos-cupos-disponibles" TargetMode="External"/><Relationship Id="rId389" Type="http://schemas.openxmlformats.org/officeDocument/2006/relationships/hyperlink" Target="https://trello.com/c/OjmjWjTS/486-d%C3%ADa-de-los-animales" TargetMode="External"/><Relationship Id="rId6" Type="http://schemas.openxmlformats.org/officeDocument/2006/relationships/hyperlink" Target="https://trello.com/c/oQ1cUVqF/418-dia-de-la-virgen-de-coromoto" TargetMode="External"/><Relationship Id="rId146" Type="http://schemas.openxmlformats.org/officeDocument/2006/relationships/hyperlink" Target="https://trello.com/c/4WSQbW7c/474-d%C3%ADa-del-lenguaje-de-se%C3%B1as" TargetMode="External"/><Relationship Id="rId267" Type="http://schemas.openxmlformats.org/officeDocument/2006/relationships/hyperlink" Target="mailto:content.creatorerni@gmail.com" TargetMode="External"/><Relationship Id="rId388" Type="http://schemas.openxmlformats.org/officeDocument/2006/relationships/hyperlink" Target="mailto:content.creatorerni@gmail.com" TargetMode="External"/><Relationship Id="rId7" Type="http://schemas.openxmlformats.org/officeDocument/2006/relationships/hyperlink" Target="mailto:rcrespokromimarket@gmail.com" TargetMode="External"/><Relationship Id="rId145" Type="http://schemas.openxmlformats.org/officeDocument/2006/relationships/hyperlink" Target="https://drive.google.com/open?id=1kQ_4DdvOVGqCoUm8iPKIOCfBMNbwopxX" TargetMode="External"/><Relationship Id="rId266" Type="http://schemas.openxmlformats.org/officeDocument/2006/relationships/hyperlink" Target="https://trello.com/c/fMHLShvu/15-mi-experiencia" TargetMode="External"/><Relationship Id="rId387" Type="http://schemas.openxmlformats.org/officeDocument/2006/relationships/hyperlink" Target="https://trello.com/c/6yq4ASiJ/484-jornada-de-adopci%C3%B3n" TargetMode="External"/><Relationship Id="rId8" Type="http://schemas.openxmlformats.org/officeDocument/2006/relationships/hyperlink" Target="https://trello.com/c/KbZursoC/419-dia-mundial-de-la-fisioterapia" TargetMode="External"/><Relationship Id="rId144" Type="http://schemas.openxmlformats.org/officeDocument/2006/relationships/hyperlink" Target="mailto:echacon.kromimarket@gmail.com" TargetMode="External"/><Relationship Id="rId265" Type="http://schemas.openxmlformats.org/officeDocument/2006/relationships/hyperlink" Target="mailto:content.creatorerni@gmail.com" TargetMode="External"/><Relationship Id="rId386" Type="http://schemas.openxmlformats.org/officeDocument/2006/relationships/hyperlink" Target="https://drive.google.com/open?id=1mfBFKXAC_87o_D7pyYvVvOqVIwxvlCRZ" TargetMode="External"/><Relationship Id="rId260" Type="http://schemas.openxmlformats.org/officeDocument/2006/relationships/hyperlink" Target="https://trello.com/c/Zmkn7H62" TargetMode="External"/><Relationship Id="rId381" Type="http://schemas.openxmlformats.org/officeDocument/2006/relationships/hyperlink" Target="mailto:fabiana.kromimarket@gmail.com" TargetMode="External"/><Relationship Id="rId380" Type="http://schemas.openxmlformats.org/officeDocument/2006/relationships/hyperlink" Target="https://drive.google.com/open?id=1WoLsMJf6YBdIJvsTprfpKG4SYq9zEcpb" TargetMode="External"/><Relationship Id="rId139" Type="http://schemas.openxmlformats.org/officeDocument/2006/relationships/hyperlink" Target="mailto:content.creatorerni@gmail.com" TargetMode="External"/><Relationship Id="rId138" Type="http://schemas.openxmlformats.org/officeDocument/2006/relationships/hyperlink" Target="https://trello.com/c/VUBm7S91/3-natulac" TargetMode="External"/><Relationship Id="rId259" Type="http://schemas.openxmlformats.org/officeDocument/2006/relationships/hyperlink" Target="mailto:echacon.kromimarket@gmail.com" TargetMode="External"/><Relationship Id="rId137" Type="http://schemas.openxmlformats.org/officeDocument/2006/relationships/hyperlink" Target="mailto:jhernandez1.kromimarket@gmail.com" TargetMode="External"/><Relationship Id="rId258" Type="http://schemas.openxmlformats.org/officeDocument/2006/relationships/hyperlink" Target="mailto:echacon.kromimarket@gmail.com" TargetMode="External"/><Relationship Id="rId379" Type="http://schemas.openxmlformats.org/officeDocument/2006/relationships/hyperlink" Target="mailto:echacon.kromimarket@gmail.com" TargetMode="External"/><Relationship Id="rId132" Type="http://schemas.openxmlformats.org/officeDocument/2006/relationships/hyperlink" Target="mailto:echacon.kromimarket@gmail.com" TargetMode="External"/><Relationship Id="rId253" Type="http://schemas.openxmlformats.org/officeDocument/2006/relationships/hyperlink" Target="mailto:content.creatorerni@gmail.com" TargetMode="External"/><Relationship Id="rId374" Type="http://schemas.openxmlformats.org/officeDocument/2006/relationships/hyperlink" Target="mailto:content.creatorerni@gmail.com" TargetMode="External"/><Relationship Id="rId131" Type="http://schemas.openxmlformats.org/officeDocument/2006/relationships/hyperlink" Target="mailto:content.creatorerni@gmail.com" TargetMode="External"/><Relationship Id="rId252" Type="http://schemas.openxmlformats.org/officeDocument/2006/relationships/hyperlink" Target="mailto:echacon.kromimarket@gmail.com" TargetMode="External"/><Relationship Id="rId373" Type="http://schemas.openxmlformats.org/officeDocument/2006/relationships/hyperlink" Target="mailto:fabiana.kromimarket@gmail.com" TargetMode="External"/><Relationship Id="rId130" Type="http://schemas.openxmlformats.org/officeDocument/2006/relationships/hyperlink" Target="https://trello.com/c/gMUaLRCQ/2-carrusel-%C3%BAltiles" TargetMode="External"/><Relationship Id="rId251" Type="http://schemas.openxmlformats.org/officeDocument/2006/relationships/hyperlink" Target="mailto:juan.kromimarket@gmail.com" TargetMode="External"/><Relationship Id="rId372" Type="http://schemas.openxmlformats.org/officeDocument/2006/relationships/hyperlink" Target="mailto:rcrespokromimarket@gmail.com" TargetMode="External"/><Relationship Id="rId250" Type="http://schemas.openxmlformats.org/officeDocument/2006/relationships/hyperlink" Target="https://drive.google.com/open?id=12HuqrBClIvYz2_taWG-BTppiMBYQnJJm" TargetMode="External"/><Relationship Id="rId371" Type="http://schemas.openxmlformats.org/officeDocument/2006/relationships/hyperlink" Target="https://trello.com/c/zitm74oJ" TargetMode="External"/><Relationship Id="rId136" Type="http://schemas.openxmlformats.org/officeDocument/2006/relationships/hyperlink" Target="mailto:rcrespokromimarket@gmail.com" TargetMode="External"/><Relationship Id="rId257" Type="http://schemas.openxmlformats.org/officeDocument/2006/relationships/hyperlink" Target="mailto:content.creatorerni@gmail.com" TargetMode="External"/><Relationship Id="rId378" Type="http://schemas.openxmlformats.org/officeDocument/2006/relationships/hyperlink" Target="mailto:content.creatorerni@gmail.com" TargetMode="External"/><Relationship Id="rId135" Type="http://schemas.openxmlformats.org/officeDocument/2006/relationships/hyperlink" Target="https://trello.com/c/2qhS9ZJW" TargetMode="External"/><Relationship Id="rId256" Type="http://schemas.openxmlformats.org/officeDocument/2006/relationships/hyperlink" Target="https://trello.com/c/EW4ccUIJ/24-inscripciones" TargetMode="External"/><Relationship Id="rId377" Type="http://schemas.openxmlformats.org/officeDocument/2006/relationships/hyperlink" Target="mailto:echacon.kromimarket@gmail.com" TargetMode="External"/><Relationship Id="rId134" Type="http://schemas.openxmlformats.org/officeDocument/2006/relationships/hyperlink" Target="mailto:rcrespokromimarket@gmail.com" TargetMode="External"/><Relationship Id="rId255" Type="http://schemas.openxmlformats.org/officeDocument/2006/relationships/hyperlink" Target="mailto:content.creatorerni@gmail.com" TargetMode="External"/><Relationship Id="rId376" Type="http://schemas.openxmlformats.org/officeDocument/2006/relationships/hyperlink" Target="mailto:rcrespokromimarket@gmail.com" TargetMode="External"/><Relationship Id="rId133" Type="http://schemas.openxmlformats.org/officeDocument/2006/relationships/hyperlink" Target="https://trello.com/c/HXVDq4zL" TargetMode="External"/><Relationship Id="rId254" Type="http://schemas.openxmlformats.org/officeDocument/2006/relationships/hyperlink" Target="https://trello.com/c/ksrp6cjj/3-anuncio-8va-edici%C3%B3n" TargetMode="External"/><Relationship Id="rId375" Type="http://schemas.openxmlformats.org/officeDocument/2006/relationships/hyperlink" Target="https://trello.com/c/aMrjSovW" TargetMode="External"/><Relationship Id="rId172" Type="http://schemas.openxmlformats.org/officeDocument/2006/relationships/hyperlink" Target="mailto:fabiana.kromimarket@gmail.com" TargetMode="External"/><Relationship Id="rId293" Type="http://schemas.openxmlformats.org/officeDocument/2006/relationships/hyperlink" Target="mailto:rcrespokromimarket@gmail.com" TargetMode="External"/><Relationship Id="rId171" Type="http://schemas.openxmlformats.org/officeDocument/2006/relationships/hyperlink" Target="mailto:fabiana.kromimarket@gmail.com" TargetMode="External"/><Relationship Id="rId292" Type="http://schemas.openxmlformats.org/officeDocument/2006/relationships/hyperlink" Target="https://trello.com/c/8Ddlmh07" TargetMode="External"/><Relationship Id="rId170" Type="http://schemas.openxmlformats.org/officeDocument/2006/relationships/hyperlink" Target="mailto:rcrespokromimarket@gmail.com" TargetMode="External"/><Relationship Id="rId291" Type="http://schemas.openxmlformats.org/officeDocument/2006/relationships/hyperlink" Target="https://drive.google.com/open?id=1fJogelrFI0c6_S5PDKXftw02Cb_NDfb3" TargetMode="External"/><Relationship Id="rId290" Type="http://schemas.openxmlformats.org/officeDocument/2006/relationships/hyperlink" Target="mailto:content.creatorerni@gmail.com" TargetMode="External"/><Relationship Id="rId165" Type="http://schemas.openxmlformats.org/officeDocument/2006/relationships/hyperlink" Target="mailto:content.creatorerni@gmail.com" TargetMode="External"/><Relationship Id="rId286" Type="http://schemas.openxmlformats.org/officeDocument/2006/relationships/hyperlink" Target="mailto:content.creatorerni@gmail.com" TargetMode="External"/><Relationship Id="rId164" Type="http://schemas.openxmlformats.org/officeDocument/2006/relationships/hyperlink" Target="https://trello.com/c/wbPWYstq/480-d%C3%ADa-del-turismo" TargetMode="External"/><Relationship Id="rId285" Type="http://schemas.openxmlformats.org/officeDocument/2006/relationships/hyperlink" Target="mailto:echacon.kromimarket@gmail.com" TargetMode="External"/><Relationship Id="rId163" Type="http://schemas.openxmlformats.org/officeDocument/2006/relationships/hyperlink" Target="mailto:content.creatorerni@gmail.com" TargetMode="External"/><Relationship Id="rId284" Type="http://schemas.openxmlformats.org/officeDocument/2006/relationships/hyperlink" Target="mailto:rcrespokromimarket@gmail.com" TargetMode="External"/><Relationship Id="rId162" Type="http://schemas.openxmlformats.org/officeDocument/2006/relationships/hyperlink" Target="mailto:content.creatorerni@gmail.com" TargetMode="External"/><Relationship Id="rId283" Type="http://schemas.openxmlformats.org/officeDocument/2006/relationships/hyperlink" Target="https://trello.com/c/u6kJiVp2/437-recipe-medico-guiado" TargetMode="External"/><Relationship Id="rId169" Type="http://schemas.openxmlformats.org/officeDocument/2006/relationships/hyperlink" Target="mailto:content.creatorerni@gmail.com" TargetMode="External"/><Relationship Id="rId168" Type="http://schemas.openxmlformats.org/officeDocument/2006/relationships/hyperlink" Target="mailto:alejandramedina46@gmail.com" TargetMode="External"/><Relationship Id="rId289" Type="http://schemas.openxmlformats.org/officeDocument/2006/relationships/hyperlink" Target="mailto:content.creatorerni@gmail.com" TargetMode="External"/><Relationship Id="rId167" Type="http://schemas.openxmlformats.org/officeDocument/2006/relationships/hyperlink" Target="mailto:rcrespokromimarket@gmail.com" TargetMode="External"/><Relationship Id="rId288" Type="http://schemas.openxmlformats.org/officeDocument/2006/relationships/hyperlink" Target="https://trello.com/c/pSWjdNeU/438-d%C3%ADa-de-la-cerveza-polar" TargetMode="External"/><Relationship Id="rId166" Type="http://schemas.openxmlformats.org/officeDocument/2006/relationships/hyperlink" Target="mailto:content.creatorerni@gmail.com" TargetMode="External"/><Relationship Id="rId287" Type="http://schemas.openxmlformats.org/officeDocument/2006/relationships/hyperlink" Target="https://drive.google.com/open?id=1gPxmo_oPR4LJSNTmO0qSlvcXIEiAd1Cj" TargetMode="External"/><Relationship Id="rId161" Type="http://schemas.openxmlformats.org/officeDocument/2006/relationships/hyperlink" Target="mailto:content.creatorerni@gmail.com" TargetMode="External"/><Relationship Id="rId282" Type="http://schemas.openxmlformats.org/officeDocument/2006/relationships/hyperlink" Target="mailto:rcrespokromimarket@gmail.com" TargetMode="External"/><Relationship Id="rId160" Type="http://schemas.openxmlformats.org/officeDocument/2006/relationships/hyperlink" Target="https://trello.com/c/SjsbCyBM/4-crustissimo" TargetMode="External"/><Relationship Id="rId281" Type="http://schemas.openxmlformats.org/officeDocument/2006/relationships/hyperlink" Target="https://trello.com/c/ekCvJyMV" TargetMode="External"/><Relationship Id="rId280" Type="http://schemas.openxmlformats.org/officeDocument/2006/relationships/hyperlink" Target="https://drive.google.com/open?id=1-B2PJm2awf4NNuug5P08nqyGtzMDaN4e" TargetMode="External"/><Relationship Id="rId159" Type="http://schemas.openxmlformats.org/officeDocument/2006/relationships/hyperlink" Target="https://drive.google.com/open?id=1_Duq0NA8O3qlLtS-BsvIAh3TI_UM05Jc" TargetMode="External"/><Relationship Id="rId154" Type="http://schemas.openxmlformats.org/officeDocument/2006/relationships/hyperlink" Target="mailto:rcrespokromimarket@gmail.com" TargetMode="External"/><Relationship Id="rId275" Type="http://schemas.openxmlformats.org/officeDocument/2006/relationships/hyperlink" Target="mailto:content.creatorerni@gmail.com" TargetMode="External"/><Relationship Id="rId396" Type="http://schemas.openxmlformats.org/officeDocument/2006/relationships/hyperlink" Target="https://drive.google.com/open?id=1p_wZWq9oVmjC3XfyZqC_9aqGSHKlrt_H" TargetMode="External"/><Relationship Id="rId153" Type="http://schemas.openxmlformats.org/officeDocument/2006/relationships/hyperlink" Target="mailto:echacon.kromimarket@gmail.com" TargetMode="External"/><Relationship Id="rId274" Type="http://schemas.openxmlformats.org/officeDocument/2006/relationships/hyperlink" Target="https://drive.google.com/open?id=11apibThGU5nhaCP7mTVNfh0slVXmRXxo" TargetMode="External"/><Relationship Id="rId395" Type="http://schemas.openxmlformats.org/officeDocument/2006/relationships/hyperlink" Target="mailto:content.creatorerni@gmail.com" TargetMode="External"/><Relationship Id="rId152" Type="http://schemas.openxmlformats.org/officeDocument/2006/relationships/hyperlink" Target="mailto:rcrespokromimarket@gmail.com" TargetMode="External"/><Relationship Id="rId273" Type="http://schemas.openxmlformats.org/officeDocument/2006/relationships/hyperlink" Target="mailto:content.creatorerni@gmail.com" TargetMode="External"/><Relationship Id="rId394" Type="http://schemas.openxmlformats.org/officeDocument/2006/relationships/hyperlink" Target="mailto:content.creatorerni@gmail.com" TargetMode="External"/><Relationship Id="rId151" Type="http://schemas.openxmlformats.org/officeDocument/2006/relationships/hyperlink" Target="https://trello.com/c/2wpLSMvS/450-d%C3%ADa-mundial-contra-la-rabia" TargetMode="External"/><Relationship Id="rId272" Type="http://schemas.openxmlformats.org/officeDocument/2006/relationships/hyperlink" Target="https://drive.google.com/open?id=1zlucWTPrKm2nClbUg4bDXUqIcRdZFQyA" TargetMode="External"/><Relationship Id="rId393" Type="http://schemas.openxmlformats.org/officeDocument/2006/relationships/hyperlink" Target="mailto:content.creatorerni@gmail.com" TargetMode="External"/><Relationship Id="rId158" Type="http://schemas.openxmlformats.org/officeDocument/2006/relationships/hyperlink" Target="mailto:content.creatorerni@gmail.com" TargetMode="External"/><Relationship Id="rId279" Type="http://schemas.openxmlformats.org/officeDocument/2006/relationships/hyperlink" Target="mailto:content.creatorerni@gmail.com" TargetMode="External"/><Relationship Id="rId157" Type="http://schemas.openxmlformats.org/officeDocument/2006/relationships/hyperlink" Target="mailto:content.creatorerni@gmail.com" TargetMode="External"/><Relationship Id="rId278" Type="http://schemas.openxmlformats.org/officeDocument/2006/relationships/hyperlink" Target="https://www.instagram.com/p/DYFT8YTIAVW/?utm_source=ig_web_copy_link&amp;igsh=MzRlODBiNWFlZA==" TargetMode="External"/><Relationship Id="rId399" Type="http://schemas.openxmlformats.org/officeDocument/2006/relationships/hyperlink" Target="mailto:content.creatorerni@gmail.com" TargetMode="External"/><Relationship Id="rId156" Type="http://schemas.openxmlformats.org/officeDocument/2006/relationships/hyperlink" Target="mailto:content.creatorerni@gmail.com" TargetMode="External"/><Relationship Id="rId277" Type="http://schemas.openxmlformats.org/officeDocument/2006/relationships/hyperlink" Target="mailto:content.creatorerni@gmail.com" TargetMode="External"/><Relationship Id="rId398" Type="http://schemas.openxmlformats.org/officeDocument/2006/relationships/hyperlink" Target="mailto:content.creatorerni@gmail.com" TargetMode="External"/><Relationship Id="rId155" Type="http://schemas.openxmlformats.org/officeDocument/2006/relationships/hyperlink" Target="https://trello.com/c/K35wefxR/476-concurso-polar" TargetMode="External"/><Relationship Id="rId276" Type="http://schemas.openxmlformats.org/officeDocument/2006/relationships/hyperlink" Target="https://drive.google.com/open?id=1x0kKXF6-IURy3VFIFsNi8iwxUvR4hiP5" TargetMode="External"/><Relationship Id="rId397" Type="http://schemas.openxmlformats.org/officeDocument/2006/relationships/hyperlink" Target="https://trello.com/c/QJiFRaD7/7-la-monserratina" TargetMode="External"/><Relationship Id="rId40" Type="http://schemas.openxmlformats.org/officeDocument/2006/relationships/hyperlink" Target="https://trello.com/c/PYNiq0kM/9-din%C3%A1mica-mini-chef" TargetMode="External"/><Relationship Id="rId42" Type="http://schemas.openxmlformats.org/officeDocument/2006/relationships/hyperlink" Target="https://trello.com/c/Jlm2Avne/427-feliz-semana-de-la-lactancia-mundial" TargetMode="External"/><Relationship Id="rId41" Type="http://schemas.openxmlformats.org/officeDocument/2006/relationships/hyperlink" Target="mailto:content.creatorerni@gmail.com" TargetMode="External"/><Relationship Id="rId44" Type="http://schemas.openxmlformats.org/officeDocument/2006/relationships/hyperlink" Target="https://trello.com/c/8tlTl87y/428-preguntas-y-respuestas-con-un-pediatra" TargetMode="External"/><Relationship Id="rId43" Type="http://schemas.openxmlformats.org/officeDocument/2006/relationships/hyperlink" Target="mailto:rcrespokromimarket@gmail.com" TargetMode="External"/><Relationship Id="rId46" Type="http://schemas.openxmlformats.org/officeDocument/2006/relationships/hyperlink" Target="https://trello.com/c/ghIhFnQ8/4-recordando-7ma-edici%C3%B3n" TargetMode="External"/><Relationship Id="rId45" Type="http://schemas.openxmlformats.org/officeDocument/2006/relationships/hyperlink" Target="mailto:rcrespokromimarket@gmail.com" TargetMode="External"/><Relationship Id="rId48" Type="http://schemas.openxmlformats.org/officeDocument/2006/relationships/hyperlink" Target="https://trello.com/c/qUW4BzV0/36-cierre-inscripciones" TargetMode="External"/><Relationship Id="rId47" Type="http://schemas.openxmlformats.org/officeDocument/2006/relationships/hyperlink" Target="mailto:content.creatorerni@gmail.com" TargetMode="External"/><Relationship Id="rId49" Type="http://schemas.openxmlformats.org/officeDocument/2006/relationships/hyperlink" Target="mailto:content.creatorerni@gmail.com" TargetMode="External"/><Relationship Id="rId31" Type="http://schemas.openxmlformats.org/officeDocument/2006/relationships/hyperlink" Target="https://drive.google.com/open?id=1enE6jlRtqgCsY-iH8YfM29-_6jHKXY0D" TargetMode="External"/><Relationship Id="rId30" Type="http://schemas.openxmlformats.org/officeDocument/2006/relationships/hyperlink" Target="mailto:content.creatorerni@gmail.com" TargetMode="External"/><Relationship Id="rId33" Type="http://schemas.openxmlformats.org/officeDocument/2006/relationships/hyperlink" Target="mailto:content.creatorerni@gmail.com" TargetMode="External"/><Relationship Id="rId32" Type="http://schemas.openxmlformats.org/officeDocument/2006/relationships/hyperlink" Target="https://trello.com/c/kNOi25ol/2-arte-patrocinios-feed-2" TargetMode="External"/><Relationship Id="rId35" Type="http://schemas.openxmlformats.org/officeDocument/2006/relationships/hyperlink" Target="mailto:content.creatorerni@gmail.com" TargetMode="External"/><Relationship Id="rId34" Type="http://schemas.openxmlformats.org/officeDocument/2006/relationships/hyperlink" Target="https://trello.com/c/gHpxwxfD/23-portada-historia-destacada" TargetMode="External"/><Relationship Id="rId37" Type="http://schemas.openxmlformats.org/officeDocument/2006/relationships/hyperlink" Target="mailto:content.creatorerni@gmail.com" TargetMode="External"/><Relationship Id="rId36" Type="http://schemas.openxmlformats.org/officeDocument/2006/relationships/hyperlink" Target="https://trello.com/c/Z7walo75/18-info-inscripciones" TargetMode="External"/><Relationship Id="rId39" Type="http://schemas.openxmlformats.org/officeDocument/2006/relationships/hyperlink" Target="mailto:rcrespokromimarket@gmail.com" TargetMode="External"/><Relationship Id="rId38" Type="http://schemas.openxmlformats.org/officeDocument/2006/relationships/hyperlink" Target="mailto:rcrespokromimarket@gmail.com" TargetMode="External"/><Relationship Id="rId20" Type="http://schemas.openxmlformats.org/officeDocument/2006/relationships/hyperlink" Target="mailto:rcrespokromimarket@gmail.com" TargetMode="External"/><Relationship Id="rId22" Type="http://schemas.openxmlformats.org/officeDocument/2006/relationships/hyperlink" Target="mailto:fabiana.kromimarket@gmail.com" TargetMode="External"/><Relationship Id="rId21" Type="http://schemas.openxmlformats.org/officeDocument/2006/relationships/hyperlink" Target="mailto:fabiana.kromimarket@gmail.com" TargetMode="External"/><Relationship Id="rId24" Type="http://schemas.openxmlformats.org/officeDocument/2006/relationships/hyperlink" Target="https://trello.com/c/mx1u4kLO/1-arte-patrocinios-feed-1" TargetMode="External"/><Relationship Id="rId23" Type="http://schemas.openxmlformats.org/officeDocument/2006/relationships/hyperlink" Target="mailto:rcrespokromimarket@gmail.com" TargetMode="External"/><Relationship Id="rId409" Type="http://schemas.openxmlformats.org/officeDocument/2006/relationships/table" Target="../tables/table1.xml"/><Relationship Id="rId404" Type="http://schemas.openxmlformats.org/officeDocument/2006/relationships/hyperlink" Target="mailto:content.creatorerni@gmail.com" TargetMode="External"/><Relationship Id="rId403" Type="http://schemas.openxmlformats.org/officeDocument/2006/relationships/hyperlink" Target="https://drive.google.com/open?id=1yc25gZHRYQGM19PqlemS30-NPuWkoiOO" TargetMode="External"/><Relationship Id="rId402" Type="http://schemas.openxmlformats.org/officeDocument/2006/relationships/hyperlink" Target="mailto:content.creatorerni@gmail.com" TargetMode="External"/><Relationship Id="rId401" Type="http://schemas.openxmlformats.org/officeDocument/2006/relationships/hyperlink" Target="mailto:rcrespokromimarket@gmail.com" TargetMode="External"/><Relationship Id="rId407" Type="http://schemas.openxmlformats.org/officeDocument/2006/relationships/vmlDrawing" Target="../drawings/vmlDrawing1.vml"/><Relationship Id="rId406" Type="http://schemas.openxmlformats.org/officeDocument/2006/relationships/drawing" Target="../drawings/drawing1.xml"/><Relationship Id="rId405" Type="http://schemas.openxmlformats.org/officeDocument/2006/relationships/hyperlink" Target="mailto:fabiana.kromimarket@gmail.com" TargetMode="External"/><Relationship Id="rId26" Type="http://schemas.openxmlformats.org/officeDocument/2006/relationships/hyperlink" Target="https://trello.com/c/IwQXAGB8/10-incripciones" TargetMode="External"/><Relationship Id="rId25" Type="http://schemas.openxmlformats.org/officeDocument/2006/relationships/hyperlink" Target="mailto:content.creatorerni@gmail.com" TargetMode="External"/><Relationship Id="rId28" Type="http://schemas.openxmlformats.org/officeDocument/2006/relationships/hyperlink" Target="https://drive.google.com/open?id=1e9M3k9AYRdAgkbUqEejc2VQaA5G5meKl" TargetMode="External"/><Relationship Id="rId27" Type="http://schemas.openxmlformats.org/officeDocument/2006/relationships/hyperlink" Target="mailto:content.creatorerni@gmail.com" TargetMode="External"/><Relationship Id="rId400" Type="http://schemas.openxmlformats.org/officeDocument/2006/relationships/hyperlink" Target="https://drive.google.com/open?id=1Ktvz5uB3UbZh-jTJkwVRcxkHvKd-gnOr" TargetMode="External"/><Relationship Id="rId29" Type="http://schemas.openxmlformats.org/officeDocument/2006/relationships/hyperlink" Target="https://trello.com/c/AWhboPYQ/35-inscripciones-forms" TargetMode="External"/><Relationship Id="rId11" Type="http://schemas.openxmlformats.org/officeDocument/2006/relationships/hyperlink" Target="mailto:rcrespokromimarket@gmail.com" TargetMode="External"/><Relationship Id="rId10" Type="http://schemas.openxmlformats.org/officeDocument/2006/relationships/hyperlink" Target="https://trello.com/c/TWjoyz7R/420-d%C3%ADa-mundial-para-la-prevenci%C3%B3n-del-suicidio" TargetMode="External"/><Relationship Id="rId13" Type="http://schemas.openxmlformats.org/officeDocument/2006/relationships/hyperlink" Target="mailto:content.creatorerni@gmail.com" TargetMode="External"/><Relationship Id="rId12" Type="http://schemas.openxmlformats.org/officeDocument/2006/relationships/hyperlink" Target="https://trello.com/c/ZtX4pex9/423-coffee-market" TargetMode="External"/><Relationship Id="rId15" Type="http://schemas.openxmlformats.org/officeDocument/2006/relationships/hyperlink" Target="mailto:content.creatorerni@gmail.com" TargetMode="External"/><Relationship Id="rId14" Type="http://schemas.openxmlformats.org/officeDocument/2006/relationships/hyperlink" Target="mailto:content.creatorerni@gmail.com" TargetMode="External"/><Relationship Id="rId17" Type="http://schemas.openxmlformats.org/officeDocument/2006/relationships/hyperlink" Target="mailto:rcrespokromimarket@gmail.com" TargetMode="External"/><Relationship Id="rId16" Type="http://schemas.openxmlformats.org/officeDocument/2006/relationships/hyperlink" Target="mailto:rcrespokromimarket@gmail.com" TargetMode="External"/><Relationship Id="rId19" Type="http://schemas.openxmlformats.org/officeDocument/2006/relationships/hyperlink" Target="mailto:content.creatorerni@gmail.com" TargetMode="External"/><Relationship Id="rId18" Type="http://schemas.openxmlformats.org/officeDocument/2006/relationships/hyperlink" Target="https://trello.com/c/Uip6KJkP/424-parrilla" TargetMode="External"/><Relationship Id="rId84" Type="http://schemas.openxmlformats.org/officeDocument/2006/relationships/hyperlink" Target="mailto:content.creatorerni@gmail.com" TargetMode="External"/><Relationship Id="rId83" Type="http://schemas.openxmlformats.org/officeDocument/2006/relationships/hyperlink" Target="mailto:rcrespokromimarket@gmail.com" TargetMode="External"/><Relationship Id="rId86" Type="http://schemas.openxmlformats.org/officeDocument/2006/relationships/hyperlink" Target="mailto:rcrespokromimarket@gmail.com" TargetMode="External"/><Relationship Id="rId85" Type="http://schemas.openxmlformats.org/officeDocument/2006/relationships/hyperlink" Target="https://trello.com/c/jeOtZFy5" TargetMode="External"/><Relationship Id="rId88" Type="http://schemas.openxmlformats.org/officeDocument/2006/relationships/hyperlink" Target="https://drive.google.com/open?id=1TSssgqFavVtbQBwX5wlj4UKpfOQpbhrV" TargetMode="External"/><Relationship Id="rId87" Type="http://schemas.openxmlformats.org/officeDocument/2006/relationships/hyperlink" Target="mailto:juan.kromimarket@gmail.com" TargetMode="External"/><Relationship Id="rId89" Type="http://schemas.openxmlformats.org/officeDocument/2006/relationships/hyperlink" Target="mailto:juan.kromimarket@gmail.com" TargetMode="External"/><Relationship Id="rId80" Type="http://schemas.openxmlformats.org/officeDocument/2006/relationships/hyperlink" Target="https://trello.com/c/yoSaKryc/2-para-el-sabor-de-casa" TargetMode="External"/><Relationship Id="rId82" Type="http://schemas.openxmlformats.org/officeDocument/2006/relationships/hyperlink" Target="https://trello.com/c/5LZVQLHU" TargetMode="External"/><Relationship Id="rId81" Type="http://schemas.openxmlformats.org/officeDocument/2006/relationships/hyperlink" Target="mailto:content.creatorerni@gmail.com" TargetMode="External"/><Relationship Id="rId73" Type="http://schemas.openxmlformats.org/officeDocument/2006/relationships/hyperlink" Target="https://trello.com/c/YIfmMZ8y" TargetMode="External"/><Relationship Id="rId72" Type="http://schemas.openxmlformats.org/officeDocument/2006/relationships/hyperlink" Target="mailto:content.creatorerni@gmail.com" TargetMode="External"/><Relationship Id="rId75" Type="http://schemas.openxmlformats.org/officeDocument/2006/relationships/hyperlink" Target="https://trello.com/c/zsz7Ahse/454-col%C3%A1geno-hidrolizado" TargetMode="External"/><Relationship Id="rId74" Type="http://schemas.openxmlformats.org/officeDocument/2006/relationships/hyperlink" Target="mailto:rcrespokromimarket@gmail.com" TargetMode="External"/><Relationship Id="rId77" Type="http://schemas.openxmlformats.org/officeDocument/2006/relationships/hyperlink" Target="mailto:echacon.kromimarket@gmail.com" TargetMode="External"/><Relationship Id="rId76" Type="http://schemas.openxmlformats.org/officeDocument/2006/relationships/hyperlink" Target="mailto:rcrespokromimarket@gmail.com" TargetMode="External"/><Relationship Id="rId79" Type="http://schemas.openxmlformats.org/officeDocument/2006/relationships/hyperlink" Target="mailto:content.creatorerni@gmail.com" TargetMode="External"/><Relationship Id="rId78" Type="http://schemas.openxmlformats.org/officeDocument/2006/relationships/hyperlink" Target="https://trello.com/c/Kkqu9IBc/39-seleccionados" TargetMode="External"/><Relationship Id="rId71" Type="http://schemas.openxmlformats.org/officeDocument/2006/relationships/hyperlink" Target="https://trello.com/c/W8SNFWD9/1-servicio-whatsapp" TargetMode="External"/><Relationship Id="rId70" Type="http://schemas.openxmlformats.org/officeDocument/2006/relationships/hyperlink" Target="mailto:rcrespokromimarket@gmail.com" TargetMode="External"/><Relationship Id="rId62" Type="http://schemas.openxmlformats.org/officeDocument/2006/relationships/hyperlink" Target="https://trello.com/c/OI1u1WDG/436-magnesio-para-el-estr%C3%A9s" TargetMode="External"/><Relationship Id="rId61" Type="http://schemas.openxmlformats.org/officeDocument/2006/relationships/hyperlink" Target="mailto:content.creatorerni@gmail.com" TargetMode="External"/><Relationship Id="rId64" Type="http://schemas.openxmlformats.org/officeDocument/2006/relationships/hyperlink" Target="mailto:rcrespokromimarket@gmail.com" TargetMode="External"/><Relationship Id="rId63" Type="http://schemas.openxmlformats.org/officeDocument/2006/relationships/hyperlink" Target="mailto:rcrespokromimarket@gmail.com" TargetMode="External"/><Relationship Id="rId66" Type="http://schemas.openxmlformats.org/officeDocument/2006/relationships/hyperlink" Target="mailto:rcrespokromimarket@gmail.com" TargetMode="External"/><Relationship Id="rId65" Type="http://schemas.openxmlformats.org/officeDocument/2006/relationships/hyperlink" Target="mailto:echacon.kromimarket@gmail.com" TargetMode="External"/><Relationship Id="rId68" Type="http://schemas.openxmlformats.org/officeDocument/2006/relationships/hyperlink" Target="https://trello.com/c/UJpegRuE" TargetMode="External"/><Relationship Id="rId67" Type="http://schemas.openxmlformats.org/officeDocument/2006/relationships/hyperlink" Target="mailto:rcrespokromimarket@gmail.com" TargetMode="External"/><Relationship Id="rId60" Type="http://schemas.openxmlformats.org/officeDocument/2006/relationships/hyperlink" Target="https://trello.com/c/Fffz9oHd/433-tortillas-tostadas" TargetMode="External"/><Relationship Id="rId69" Type="http://schemas.openxmlformats.org/officeDocument/2006/relationships/hyperlink" Target="mailto:rcrespokromimarket@gmail.com" TargetMode="External"/><Relationship Id="rId51" Type="http://schemas.openxmlformats.org/officeDocument/2006/relationships/hyperlink" Target="mailto:rcrespokromimarket@gmail.com" TargetMode="External"/><Relationship Id="rId50" Type="http://schemas.openxmlformats.org/officeDocument/2006/relationships/hyperlink" Target="mailto:rcrespokromimarket@gmail.com" TargetMode="External"/><Relationship Id="rId53" Type="http://schemas.openxmlformats.org/officeDocument/2006/relationships/hyperlink" Target="mailto:rcrespokromimarket@gmail.com" TargetMode="External"/><Relationship Id="rId52" Type="http://schemas.openxmlformats.org/officeDocument/2006/relationships/hyperlink" Target="mailto:rcrespokromimarket@gmail.com" TargetMode="External"/><Relationship Id="rId55" Type="http://schemas.openxmlformats.org/officeDocument/2006/relationships/hyperlink" Target="https://drive.google.com/open?id=1NbbIk1-eF7MIWBvjCdu3PvdqrXUzcXRZ" TargetMode="External"/><Relationship Id="rId54" Type="http://schemas.openxmlformats.org/officeDocument/2006/relationships/hyperlink" Target="mailto:juan.kromimarket@gmail.com" TargetMode="External"/><Relationship Id="rId57" Type="http://schemas.openxmlformats.org/officeDocument/2006/relationships/hyperlink" Target="mailto:rcrespokromimarket@gmail.com" TargetMode="External"/><Relationship Id="rId56" Type="http://schemas.openxmlformats.org/officeDocument/2006/relationships/hyperlink" Target="https://trello.com/c/NEtMvODD" TargetMode="External"/><Relationship Id="rId59" Type="http://schemas.openxmlformats.org/officeDocument/2006/relationships/hyperlink" Target="mailto:content.creatorerni@gmail.com" TargetMode="External"/><Relationship Id="rId58" Type="http://schemas.openxmlformats.org/officeDocument/2006/relationships/hyperlink" Target="https://trello.com/c/R2xzK4dX/431-pasta-rummo" TargetMode="External"/><Relationship Id="rId107" Type="http://schemas.openxmlformats.org/officeDocument/2006/relationships/hyperlink" Target="mailto:rcrespokromimarket@gmail.com" TargetMode="External"/><Relationship Id="rId228" Type="http://schemas.openxmlformats.org/officeDocument/2006/relationships/hyperlink" Target="https://drive.google.com/open?id=1NKXYdX70N6v1-KkJy5vKGbhpnlcRwStj" TargetMode="External"/><Relationship Id="rId349" Type="http://schemas.openxmlformats.org/officeDocument/2006/relationships/hyperlink" Target="https://trello.com/c/eYYfpZYW" TargetMode="External"/><Relationship Id="rId106" Type="http://schemas.openxmlformats.org/officeDocument/2006/relationships/hyperlink" Target="https://trello.com/c/BXdi8VI1/463-fotoprotecci%C3%B3n" TargetMode="External"/><Relationship Id="rId227" Type="http://schemas.openxmlformats.org/officeDocument/2006/relationships/hyperlink" Target="mailto:content.creatorerni@gmail.com" TargetMode="External"/><Relationship Id="rId348" Type="http://schemas.openxmlformats.org/officeDocument/2006/relationships/hyperlink" Target="mailto:content.creatorerni@gmail.com" TargetMode="External"/><Relationship Id="rId105" Type="http://schemas.openxmlformats.org/officeDocument/2006/relationships/hyperlink" Target="https://drive.google.com/open?id=1gaM8Kvn2ceP28tHfL7I2cUz3hF8E8ZI9" TargetMode="External"/><Relationship Id="rId226" Type="http://schemas.openxmlformats.org/officeDocument/2006/relationships/hyperlink" Target="https://trello.com/c/sGN0Kgwf/412-banner-grande-secci%C3%B3n-2" TargetMode="External"/><Relationship Id="rId347" Type="http://schemas.openxmlformats.org/officeDocument/2006/relationships/hyperlink" Target="https://drive.google.com/drive/folders/1tf06z0dhBIjYSU5-WkYKPVHvTprqVZ-H?usp=drive_link" TargetMode="External"/><Relationship Id="rId104" Type="http://schemas.openxmlformats.org/officeDocument/2006/relationships/hyperlink" Target="mailto:echacon.kromimarket@gmail.com" TargetMode="External"/><Relationship Id="rId225" Type="http://schemas.openxmlformats.org/officeDocument/2006/relationships/hyperlink" Target="mailto:jhernandez1.kromimarket@gmail.com" TargetMode="External"/><Relationship Id="rId346" Type="http://schemas.openxmlformats.org/officeDocument/2006/relationships/hyperlink" Target="mailto:rcrespokromimarket@gmail.com" TargetMode="External"/><Relationship Id="rId109" Type="http://schemas.openxmlformats.org/officeDocument/2006/relationships/hyperlink" Target="mailto:rcrespokromimarket@gmail.com" TargetMode="External"/><Relationship Id="rId108" Type="http://schemas.openxmlformats.org/officeDocument/2006/relationships/hyperlink" Target="https://trello.com/c/us1iOick" TargetMode="External"/><Relationship Id="rId229" Type="http://schemas.openxmlformats.org/officeDocument/2006/relationships/hyperlink" Target="https://trello.com/c/oLTxcf6k/422-d%C3%ADa-del-ni%C3%B1o-casa-hogar" TargetMode="External"/><Relationship Id="rId220" Type="http://schemas.openxmlformats.org/officeDocument/2006/relationships/hyperlink" Target="https://trello.com/c/fpgKbGo8/421-d%C3%ADa-mundial-de-los-primeros-auxilios" TargetMode="External"/><Relationship Id="rId341" Type="http://schemas.openxmlformats.org/officeDocument/2006/relationships/hyperlink" Target="https://drive.google.com/drive/folders/1qP3SQ2d9aEuz3B1zvsH5Oa5X_AtZy7ZW?usp=drive_link" TargetMode="External"/><Relationship Id="rId340" Type="http://schemas.openxmlformats.org/officeDocument/2006/relationships/hyperlink" Target="mailto:content.creatorerni@gmail.com" TargetMode="External"/><Relationship Id="rId103" Type="http://schemas.openxmlformats.org/officeDocument/2006/relationships/hyperlink" Target="mailto:content.creatorerni@gmail.com" TargetMode="External"/><Relationship Id="rId224" Type="http://schemas.openxmlformats.org/officeDocument/2006/relationships/hyperlink" Target="https://drive.google.com/open?id=16XzSHQKEQKF_Z-T8BeCff10k47E07GZh" TargetMode="External"/><Relationship Id="rId345" Type="http://schemas.openxmlformats.org/officeDocument/2006/relationships/hyperlink" Target="https://trello.com/c/DeRJRheU" TargetMode="External"/><Relationship Id="rId102" Type="http://schemas.openxmlformats.org/officeDocument/2006/relationships/hyperlink" Target="https://trello.com/c/oKNxw6dJ/1-banners-secundarios-5-piezas" TargetMode="External"/><Relationship Id="rId223" Type="http://schemas.openxmlformats.org/officeDocument/2006/relationships/hyperlink" Target="mailto:content.creatorerni@gmail.com" TargetMode="External"/><Relationship Id="rId344" Type="http://schemas.openxmlformats.org/officeDocument/2006/relationships/hyperlink" Target="mailto:rcrespokromimarket@gmail.com" TargetMode="External"/><Relationship Id="rId101" Type="http://schemas.openxmlformats.org/officeDocument/2006/relationships/hyperlink" Target="mailto:rcrespokromimarket@gmail.com" TargetMode="External"/><Relationship Id="rId222" Type="http://schemas.openxmlformats.org/officeDocument/2006/relationships/hyperlink" Target="https://trello.com/c/OWnY05oJ/409-d%C3%ADa-del-ni%C3%B1o" TargetMode="External"/><Relationship Id="rId343" Type="http://schemas.openxmlformats.org/officeDocument/2006/relationships/hyperlink" Target="https://trello.com/c/ltnSm5jt" TargetMode="External"/><Relationship Id="rId100" Type="http://schemas.openxmlformats.org/officeDocument/2006/relationships/hyperlink" Target="mailto:rcrespokromimarket@gmail.com" TargetMode="External"/><Relationship Id="rId221" Type="http://schemas.openxmlformats.org/officeDocument/2006/relationships/hyperlink" Target="mailto:rcrespokromimarket@gmail.com" TargetMode="External"/><Relationship Id="rId342" Type="http://schemas.openxmlformats.org/officeDocument/2006/relationships/hyperlink" Target="mailto:content.creatorerni@gmail.com" TargetMode="External"/><Relationship Id="rId217" Type="http://schemas.openxmlformats.org/officeDocument/2006/relationships/hyperlink" Target="https://trello.com/c/1MhM9Yb9/405-llegaron-las-vacaciones" TargetMode="External"/><Relationship Id="rId338" Type="http://schemas.openxmlformats.org/officeDocument/2006/relationships/hyperlink" Target="mailto:content.creatorerni@gmail.com" TargetMode="External"/><Relationship Id="rId216" Type="http://schemas.openxmlformats.org/officeDocument/2006/relationships/hyperlink" Target="mailto:content.creatorerni@gmail.com" TargetMode="External"/><Relationship Id="rId337" Type="http://schemas.openxmlformats.org/officeDocument/2006/relationships/hyperlink" Target="https://drive.google.com/open?id=1zXqtFtaFaL2yc3ES23MYs4ZGbzyCrg3Y" TargetMode="External"/><Relationship Id="rId215" Type="http://schemas.openxmlformats.org/officeDocument/2006/relationships/hyperlink" Target="https://trello.com/c/3Lmokt43/413-frutas" TargetMode="External"/><Relationship Id="rId336" Type="http://schemas.openxmlformats.org/officeDocument/2006/relationships/hyperlink" Target="mailto:content.creatorerni@gmail.com" TargetMode="External"/><Relationship Id="rId214" Type="http://schemas.openxmlformats.org/officeDocument/2006/relationships/hyperlink" Target="mailto:content.creatorerni@gmail.com" TargetMode="External"/><Relationship Id="rId335" Type="http://schemas.openxmlformats.org/officeDocument/2006/relationships/hyperlink" Target="mailto:rcrespokromimarket@gmail.com" TargetMode="External"/><Relationship Id="rId219" Type="http://schemas.openxmlformats.org/officeDocument/2006/relationships/hyperlink" Target="https://drive.google.com/open?id=15q_LK3Yfm98t54cIeAEG8fOLxL-Zuq5D" TargetMode="External"/><Relationship Id="rId218" Type="http://schemas.openxmlformats.org/officeDocument/2006/relationships/hyperlink" Target="mailto:content.creatorerni@gmail.com" TargetMode="External"/><Relationship Id="rId339" Type="http://schemas.openxmlformats.org/officeDocument/2006/relationships/hyperlink" Target="https://drive.google.com/open?id=1zyydZmkNer_BmQLlxgV4dbWfwIETaS3R" TargetMode="External"/><Relationship Id="rId330" Type="http://schemas.openxmlformats.org/officeDocument/2006/relationships/hyperlink" Target="mailto:content.creatorerni@gmail.com" TargetMode="External"/><Relationship Id="rId213" Type="http://schemas.openxmlformats.org/officeDocument/2006/relationships/hyperlink" Target="https://trello.com/c/1MhM9Yb9/405-llegaron-las-vacaciones" TargetMode="External"/><Relationship Id="rId334" Type="http://schemas.openxmlformats.org/officeDocument/2006/relationships/hyperlink" Target="https://trello.com/c/QM8wyWvw" TargetMode="External"/><Relationship Id="rId212" Type="http://schemas.openxmlformats.org/officeDocument/2006/relationships/hyperlink" Target="mailto:jhernandez1.kromimarket@gmail.com" TargetMode="External"/><Relationship Id="rId333" Type="http://schemas.openxmlformats.org/officeDocument/2006/relationships/hyperlink" Target="mailto:rcrespokromimarket@gmail.com" TargetMode="External"/><Relationship Id="rId211" Type="http://schemas.openxmlformats.org/officeDocument/2006/relationships/hyperlink" Target="mailto:content.creatorerni@gmail.com" TargetMode="External"/><Relationship Id="rId332" Type="http://schemas.openxmlformats.org/officeDocument/2006/relationships/hyperlink" Target="https://trello.com/c/uUlYcxe7" TargetMode="External"/><Relationship Id="rId210" Type="http://schemas.openxmlformats.org/officeDocument/2006/relationships/hyperlink" Target="mailto:rcrespokromimarket@gmail.com" TargetMode="External"/><Relationship Id="rId331" Type="http://schemas.openxmlformats.org/officeDocument/2006/relationships/hyperlink" Target="mailto:furdanetakromimarket@gmail.com" TargetMode="External"/><Relationship Id="rId370" Type="http://schemas.openxmlformats.org/officeDocument/2006/relationships/hyperlink" Target="mailto:rcrespokromimarket@gmail.com" TargetMode="External"/><Relationship Id="rId129" Type="http://schemas.openxmlformats.org/officeDocument/2006/relationships/hyperlink" Target="https://drive.google.com/open?id=1-IqXOGu0aaaoUspJRAVId7YszqoJihVz" TargetMode="External"/><Relationship Id="rId128" Type="http://schemas.openxmlformats.org/officeDocument/2006/relationships/hyperlink" Target="mailto:juan.kromimarket@gmail.com" TargetMode="External"/><Relationship Id="rId249" Type="http://schemas.openxmlformats.org/officeDocument/2006/relationships/hyperlink" Target="mailto:content.creatorerni@gmail.com" TargetMode="External"/><Relationship Id="rId127" Type="http://schemas.openxmlformats.org/officeDocument/2006/relationships/hyperlink" Target="https://drive.google.com/open?id=1E4B-gcZd7TkADA2dNVu7kIJpLaRXMNTn" TargetMode="External"/><Relationship Id="rId248" Type="http://schemas.openxmlformats.org/officeDocument/2006/relationships/hyperlink" Target="https://trello.com/c/XCQHe0io/26-banner-web-8va-edici%C3%B3n" TargetMode="External"/><Relationship Id="rId369" Type="http://schemas.openxmlformats.org/officeDocument/2006/relationships/hyperlink" Target="https://trello.com/c/8ZdKKGye" TargetMode="External"/><Relationship Id="rId126" Type="http://schemas.openxmlformats.org/officeDocument/2006/relationships/hyperlink" Target="mailto:juan.kromimarket@gmail.com" TargetMode="External"/><Relationship Id="rId247" Type="http://schemas.openxmlformats.org/officeDocument/2006/relationships/hyperlink" Target="mailto:content.creatorerni@gmail.com" TargetMode="External"/><Relationship Id="rId368" Type="http://schemas.openxmlformats.org/officeDocument/2006/relationships/hyperlink" Target="https://drive.google.com/open?id=13FLQDauqQO8QEVMGbblXog46jFDrvoUm" TargetMode="External"/><Relationship Id="rId121" Type="http://schemas.openxmlformats.org/officeDocument/2006/relationships/hyperlink" Target="mailto:rcrespokromimarket@gmail.com" TargetMode="External"/><Relationship Id="rId242" Type="http://schemas.openxmlformats.org/officeDocument/2006/relationships/hyperlink" Target="mailto:content.creatorerni@gmail.com" TargetMode="External"/><Relationship Id="rId363" Type="http://schemas.openxmlformats.org/officeDocument/2006/relationships/hyperlink" Target="mailto:content.creatorerni@gmail.com" TargetMode="External"/><Relationship Id="rId120" Type="http://schemas.openxmlformats.org/officeDocument/2006/relationships/hyperlink" Target="mailto:rcrespokromimarket@gmail.com" TargetMode="External"/><Relationship Id="rId241" Type="http://schemas.openxmlformats.org/officeDocument/2006/relationships/hyperlink" Target="https://drive.google.com/open?id=18SMNgslWyptk-jVRj_85XYolhpOORLer" TargetMode="External"/><Relationship Id="rId362" Type="http://schemas.openxmlformats.org/officeDocument/2006/relationships/hyperlink" Target="mailto:rcrespokromimarket@gmail.com" TargetMode="External"/><Relationship Id="rId240" Type="http://schemas.openxmlformats.org/officeDocument/2006/relationships/hyperlink" Target="mailto:content.creatorerni@gmail.com" TargetMode="External"/><Relationship Id="rId361" Type="http://schemas.openxmlformats.org/officeDocument/2006/relationships/hyperlink" Target="https://trello.com/c/frvyCZ0v" TargetMode="External"/><Relationship Id="rId360" Type="http://schemas.openxmlformats.org/officeDocument/2006/relationships/hyperlink" Target="mailto:content.creatorerni@gmail.com" TargetMode="External"/><Relationship Id="rId125" Type="http://schemas.openxmlformats.org/officeDocument/2006/relationships/hyperlink" Target="mailto:juan.kromimarket@gmail.com" TargetMode="External"/><Relationship Id="rId246" Type="http://schemas.openxmlformats.org/officeDocument/2006/relationships/hyperlink" Target="https://drive.google.com/drive/folders/10Y3pVMFBqs-H7tVfLYlf59QE320Pm1NJ?usp=drive_link" TargetMode="External"/><Relationship Id="rId367" Type="http://schemas.openxmlformats.org/officeDocument/2006/relationships/hyperlink" Target="mailto:content.creatorerni@gmail.com" TargetMode="External"/><Relationship Id="rId124" Type="http://schemas.openxmlformats.org/officeDocument/2006/relationships/hyperlink" Target="mailto:juan.kromimarket@gmail.com" TargetMode="External"/><Relationship Id="rId245" Type="http://schemas.openxmlformats.org/officeDocument/2006/relationships/hyperlink" Target="mailto:content.creatorerni@gmail.com" TargetMode="External"/><Relationship Id="rId366" Type="http://schemas.openxmlformats.org/officeDocument/2006/relationships/hyperlink" Target="mailto:rcrespokromimarket@gmail.com" TargetMode="External"/><Relationship Id="rId123" Type="http://schemas.openxmlformats.org/officeDocument/2006/relationships/hyperlink" Target="mailto:rcrespokromimarket@gmail.com" TargetMode="External"/><Relationship Id="rId244" Type="http://schemas.openxmlformats.org/officeDocument/2006/relationships/hyperlink" Target="https://drive.google.com/open?id=1SxoIMScaewySGoShveYpFjlereY4d4e4" TargetMode="External"/><Relationship Id="rId365" Type="http://schemas.openxmlformats.org/officeDocument/2006/relationships/hyperlink" Target="https://trello.com/c/QNjGtf6x" TargetMode="External"/><Relationship Id="rId122" Type="http://schemas.openxmlformats.org/officeDocument/2006/relationships/hyperlink" Target="https://trello.com/c/V6LUdQXz" TargetMode="External"/><Relationship Id="rId243" Type="http://schemas.openxmlformats.org/officeDocument/2006/relationships/hyperlink" Target="mailto:content.creatorerni@gmail.com" TargetMode="External"/><Relationship Id="rId364" Type="http://schemas.openxmlformats.org/officeDocument/2006/relationships/hyperlink" Target="https://drive.google.com/open?id=1Roe0PaPFSv1jkafG2q6PruvxaeSmGw-3" TargetMode="External"/><Relationship Id="rId95" Type="http://schemas.openxmlformats.org/officeDocument/2006/relationships/hyperlink" Target="https://trello.com/c/fpgKbGo8" TargetMode="External"/><Relationship Id="rId94" Type="http://schemas.openxmlformats.org/officeDocument/2006/relationships/hyperlink" Target="mailto:rcrespokromimarket@gmail.com" TargetMode="External"/><Relationship Id="rId97" Type="http://schemas.openxmlformats.org/officeDocument/2006/relationships/hyperlink" Target="https://trello.com/c/TqQdpJkF/465-banner-regreso-a-clases-farmacia" TargetMode="External"/><Relationship Id="rId96" Type="http://schemas.openxmlformats.org/officeDocument/2006/relationships/hyperlink" Target="mailto:rcrespokromimarket@gmail.com" TargetMode="External"/><Relationship Id="rId99" Type="http://schemas.openxmlformats.org/officeDocument/2006/relationships/hyperlink" Target="https://trello.com/c/TqQdpJkF" TargetMode="External"/><Relationship Id="rId98" Type="http://schemas.openxmlformats.org/officeDocument/2006/relationships/hyperlink" Target="mailto:rcrespokromimarket@gmail.com" TargetMode="External"/><Relationship Id="rId91" Type="http://schemas.openxmlformats.org/officeDocument/2006/relationships/hyperlink" Target="mailto:rcrespokromimarket@gmail.com" TargetMode="External"/><Relationship Id="rId90" Type="http://schemas.openxmlformats.org/officeDocument/2006/relationships/hyperlink" Target="https://trello.com/c/2iGkciAx" TargetMode="External"/><Relationship Id="rId93" Type="http://schemas.openxmlformats.org/officeDocument/2006/relationships/hyperlink" Target="mailto:rcrespokromimarket@gmail.com" TargetMode="External"/><Relationship Id="rId92" Type="http://schemas.openxmlformats.org/officeDocument/2006/relationships/hyperlink" Target="mailto:content.creatorerni@gmail.com" TargetMode="External"/><Relationship Id="rId118" Type="http://schemas.openxmlformats.org/officeDocument/2006/relationships/hyperlink" Target="https://trello.com/c/gBb4NOSw/1-sopas-y-guisos" TargetMode="External"/><Relationship Id="rId239" Type="http://schemas.openxmlformats.org/officeDocument/2006/relationships/hyperlink" Target="https://drive.google.com/open?id=1oSRt4FgBRAYDNgvWpr67EoZkZMeMsitY" TargetMode="External"/><Relationship Id="rId117" Type="http://schemas.openxmlformats.org/officeDocument/2006/relationships/hyperlink" Target="mailto:content.creatorerni@gmail.com" TargetMode="External"/><Relationship Id="rId238" Type="http://schemas.openxmlformats.org/officeDocument/2006/relationships/hyperlink" Target="mailto:content.creatorerni@gmail.com" TargetMode="External"/><Relationship Id="rId359" Type="http://schemas.openxmlformats.org/officeDocument/2006/relationships/hyperlink" Target="https://drive.google.com/open?id=1PYL3YwRRmk-_4jEDOXDt800QqzivH1nn" TargetMode="External"/><Relationship Id="rId116" Type="http://schemas.openxmlformats.org/officeDocument/2006/relationships/hyperlink" Target="mailto:rcrespokromimarket@gmail.com" TargetMode="External"/><Relationship Id="rId237" Type="http://schemas.openxmlformats.org/officeDocument/2006/relationships/hyperlink" Target="https://trello.com/c/WEEGhAWw/410-banner-principal" TargetMode="External"/><Relationship Id="rId358" Type="http://schemas.openxmlformats.org/officeDocument/2006/relationships/hyperlink" Target="mailto:echacon.kromimarket@gmail.com" TargetMode="External"/><Relationship Id="rId115" Type="http://schemas.openxmlformats.org/officeDocument/2006/relationships/hyperlink" Target="mailto:rcrespokromimarket@gmail.com" TargetMode="External"/><Relationship Id="rId236" Type="http://schemas.openxmlformats.org/officeDocument/2006/relationships/hyperlink" Target="https://drive.google.com/open?id=1kQT9uq_l1Z8Lb6eWH9wDSk_fsuYnVlQk" TargetMode="External"/><Relationship Id="rId357" Type="http://schemas.openxmlformats.org/officeDocument/2006/relationships/hyperlink" Target="mailto:rcrespokromimarket@gmail.com" TargetMode="External"/><Relationship Id="rId119" Type="http://schemas.openxmlformats.org/officeDocument/2006/relationships/hyperlink" Target="mailto:content.creatorerni@gmail.com" TargetMode="External"/><Relationship Id="rId110" Type="http://schemas.openxmlformats.org/officeDocument/2006/relationships/hyperlink" Target="https://trello.com/c/A680bVpO/464-salud-renal" TargetMode="External"/><Relationship Id="rId231" Type="http://schemas.openxmlformats.org/officeDocument/2006/relationships/hyperlink" Target="mailto:alejandramedina46@gmail.com" TargetMode="External"/><Relationship Id="rId352" Type="http://schemas.openxmlformats.org/officeDocument/2006/relationships/hyperlink" Target="https://trello.com/c/XZNut7n7/501-kromi-app" TargetMode="External"/><Relationship Id="rId230" Type="http://schemas.openxmlformats.org/officeDocument/2006/relationships/hyperlink" Target="mailto:content.creatorerni@gmail.com" TargetMode="External"/><Relationship Id="rId351" Type="http://schemas.openxmlformats.org/officeDocument/2006/relationships/hyperlink" Target="mailto:content.creatorerni@gmail.com" TargetMode="External"/><Relationship Id="rId350" Type="http://schemas.openxmlformats.org/officeDocument/2006/relationships/hyperlink" Target="mailto:rcrespokromimarket@gmail.com" TargetMode="External"/><Relationship Id="rId114" Type="http://schemas.openxmlformats.org/officeDocument/2006/relationships/hyperlink" Target="https://trello.com/c/r9QyZ2i0/471-impulso-living" TargetMode="External"/><Relationship Id="rId235" Type="http://schemas.openxmlformats.org/officeDocument/2006/relationships/hyperlink" Target="mailto:content.creatorerni@gmail.com" TargetMode="External"/><Relationship Id="rId356" Type="http://schemas.openxmlformats.org/officeDocument/2006/relationships/hyperlink" Target="https://trello.com/c/vlXFslZb" TargetMode="External"/><Relationship Id="rId113" Type="http://schemas.openxmlformats.org/officeDocument/2006/relationships/hyperlink" Target="mailto:rcrespokromimarket@gmail.com" TargetMode="External"/><Relationship Id="rId234" Type="http://schemas.openxmlformats.org/officeDocument/2006/relationships/hyperlink" Target="https://drive.google.com/file/d/1iGWEYSoepN6dopdwJtrotpKTQhqFpNAx/view?usp=drive_link" TargetMode="External"/><Relationship Id="rId355" Type="http://schemas.openxmlformats.org/officeDocument/2006/relationships/hyperlink" Target="https://drive.google.com/open?id=1vW3uIPkeL9ospLeBvancPvJ4p04G6t64" TargetMode="External"/><Relationship Id="rId112" Type="http://schemas.openxmlformats.org/officeDocument/2006/relationships/hyperlink" Target="https://trello.com/c/rdlzTsqK" TargetMode="External"/><Relationship Id="rId233" Type="http://schemas.openxmlformats.org/officeDocument/2006/relationships/hyperlink" Target="mailto:content.creatorerni@gmail.com" TargetMode="External"/><Relationship Id="rId354" Type="http://schemas.openxmlformats.org/officeDocument/2006/relationships/hyperlink" Target="mailto:content.creatorerni@gmail.com" TargetMode="External"/><Relationship Id="rId111" Type="http://schemas.openxmlformats.org/officeDocument/2006/relationships/hyperlink" Target="mailto:rcrespokromimarket@gmail.com" TargetMode="External"/><Relationship Id="rId232" Type="http://schemas.openxmlformats.org/officeDocument/2006/relationships/hyperlink" Target="https://trello.com/c/oLTxcf6k/422-d%C3%ADa-del-ni%C3%B1o-casa-hogar" TargetMode="External"/><Relationship Id="rId353" Type="http://schemas.openxmlformats.org/officeDocument/2006/relationships/hyperlink" Target="mailto:content.creatorerni@gmail.com" TargetMode="External"/><Relationship Id="rId305" Type="http://schemas.openxmlformats.org/officeDocument/2006/relationships/hyperlink" Target="https://trello.com/c/ZJfy9U6r/453-suplementos-vs-alimentos" TargetMode="External"/><Relationship Id="rId304" Type="http://schemas.openxmlformats.org/officeDocument/2006/relationships/hyperlink" Target="mailto:jhernandez1.kromimarket@gmail.com" TargetMode="External"/><Relationship Id="rId303" Type="http://schemas.openxmlformats.org/officeDocument/2006/relationships/hyperlink" Target="mailto:echacon.kromimarket@gmail.com" TargetMode="External"/><Relationship Id="rId302" Type="http://schemas.openxmlformats.org/officeDocument/2006/relationships/hyperlink" Target="mailto:fabiana.kromimarket@gmail.com" TargetMode="External"/><Relationship Id="rId309" Type="http://schemas.openxmlformats.org/officeDocument/2006/relationships/hyperlink" Target="mailto:rcrespokromimarket@gmail.com" TargetMode="External"/><Relationship Id="rId308" Type="http://schemas.openxmlformats.org/officeDocument/2006/relationships/hyperlink" Target="https://trello.com/c/8RQcgSiH" TargetMode="External"/><Relationship Id="rId307" Type="http://schemas.openxmlformats.org/officeDocument/2006/relationships/hyperlink" Target="mailto:echacon.kromimarket@gmail.com" TargetMode="External"/><Relationship Id="rId306" Type="http://schemas.openxmlformats.org/officeDocument/2006/relationships/hyperlink" Target="mailto:rcrespokromimarket@gmail.com" TargetMode="External"/><Relationship Id="rId301" Type="http://schemas.openxmlformats.org/officeDocument/2006/relationships/hyperlink" Target="mailto:content.creatorerni@gmail.com" TargetMode="External"/><Relationship Id="rId300" Type="http://schemas.openxmlformats.org/officeDocument/2006/relationships/hyperlink" Target="https://trello.com/c/ITP8XEPk/451-veropan" TargetMode="External"/><Relationship Id="rId206" Type="http://schemas.openxmlformats.org/officeDocument/2006/relationships/hyperlink" Target="mailto:rcrespokromimarket@gmail.com" TargetMode="External"/><Relationship Id="rId327" Type="http://schemas.openxmlformats.org/officeDocument/2006/relationships/hyperlink" Target="https://trello.com/c/aUxSQTcL" TargetMode="External"/><Relationship Id="rId205" Type="http://schemas.openxmlformats.org/officeDocument/2006/relationships/hyperlink" Target="mailto:rcrespokromimarket@gmail.com" TargetMode="External"/><Relationship Id="rId326" Type="http://schemas.openxmlformats.org/officeDocument/2006/relationships/hyperlink" Target="mailto:rcrespokromimarket@gmail.com" TargetMode="External"/><Relationship Id="rId204" Type="http://schemas.openxmlformats.org/officeDocument/2006/relationships/hyperlink" Target="https://kromi-connect.vercel.app" TargetMode="External"/><Relationship Id="rId325" Type="http://schemas.openxmlformats.org/officeDocument/2006/relationships/hyperlink" Target="https://trello.com/c/4C0WFdUG" TargetMode="External"/><Relationship Id="rId203" Type="http://schemas.openxmlformats.org/officeDocument/2006/relationships/hyperlink" Target="mailto:rcrespokromimarket@gmail.com" TargetMode="External"/><Relationship Id="rId324" Type="http://schemas.openxmlformats.org/officeDocument/2006/relationships/hyperlink" Target="mailto:content.creatorerni@gmail.com" TargetMode="External"/><Relationship Id="rId209" Type="http://schemas.openxmlformats.org/officeDocument/2006/relationships/hyperlink" Target="https://trello.com/c/QNjGtf6x" TargetMode="External"/><Relationship Id="rId208" Type="http://schemas.openxmlformats.org/officeDocument/2006/relationships/hyperlink" Target="mailto:rcrespokromimarket@gmail.com" TargetMode="External"/><Relationship Id="rId329" Type="http://schemas.openxmlformats.org/officeDocument/2006/relationships/hyperlink" Target="https://trello.com/c/p0JCuj49/462-d%C3%ADa-del-chocolate" TargetMode="External"/><Relationship Id="rId207" Type="http://schemas.openxmlformats.org/officeDocument/2006/relationships/hyperlink" Target="https://trello.com/c/cj6TNAXm" TargetMode="External"/><Relationship Id="rId328" Type="http://schemas.openxmlformats.org/officeDocument/2006/relationships/hyperlink" Target="mailto:rcrespokromimarket@gmail.com" TargetMode="External"/><Relationship Id="rId202" Type="http://schemas.openxmlformats.org/officeDocument/2006/relationships/hyperlink" Target="https://kromi-connect.vercel.app/" TargetMode="External"/><Relationship Id="rId323" Type="http://schemas.openxmlformats.org/officeDocument/2006/relationships/hyperlink" Target="mailto:jhernandez1.kromimarket@gmail.com" TargetMode="External"/><Relationship Id="rId201" Type="http://schemas.openxmlformats.org/officeDocument/2006/relationships/hyperlink" Target="mailto:rcrespokromimarket@gmail.com" TargetMode="External"/><Relationship Id="rId322" Type="http://schemas.openxmlformats.org/officeDocument/2006/relationships/hyperlink" Target="https://drive.google.com/open?id=1iULjgDD_NPR2yoJIKJGp00AjWow6t50X" TargetMode="External"/><Relationship Id="rId200" Type="http://schemas.openxmlformats.org/officeDocument/2006/relationships/hyperlink" Target="https://trello.com/c/i2Cgn3iu" TargetMode="External"/><Relationship Id="rId321" Type="http://schemas.openxmlformats.org/officeDocument/2006/relationships/hyperlink" Target="mailto:content.creatorerni@gmail.com" TargetMode="External"/><Relationship Id="rId320" Type="http://schemas.openxmlformats.org/officeDocument/2006/relationships/hyperlink" Target="mailto:content.creatorerni@gmail.com" TargetMode="External"/><Relationship Id="rId316" Type="http://schemas.openxmlformats.org/officeDocument/2006/relationships/hyperlink" Target="mailto:echacon.kromimarket@gmail.com" TargetMode="External"/><Relationship Id="rId315" Type="http://schemas.openxmlformats.org/officeDocument/2006/relationships/hyperlink" Target="mailto:content.creatorerni@gmail.com" TargetMode="External"/><Relationship Id="rId314" Type="http://schemas.openxmlformats.org/officeDocument/2006/relationships/hyperlink" Target="https://trello.com/c/sWyhLNbP/3-ideas-para-guisos" TargetMode="External"/><Relationship Id="rId313" Type="http://schemas.openxmlformats.org/officeDocument/2006/relationships/hyperlink" Target="https://drive.google.com/open?id=1Txzb5FEW8uVHLX4J7Z5l0DgrA5vaVUEX" TargetMode="External"/><Relationship Id="rId319" Type="http://schemas.openxmlformats.org/officeDocument/2006/relationships/hyperlink" Target="https://trello.com/c/sFLTPL8G/5-review-1-equipos" TargetMode="External"/><Relationship Id="rId318" Type="http://schemas.openxmlformats.org/officeDocument/2006/relationships/hyperlink" Target="https://drive.google.com/open?id=1UMD8LfRUC4uGskQLWhBhE6oxOzWI6IiS" TargetMode="External"/><Relationship Id="rId317" Type="http://schemas.openxmlformats.org/officeDocument/2006/relationships/hyperlink" Target="mailto:content.creatorerni@gmail.com" TargetMode="External"/><Relationship Id="rId312" Type="http://schemas.openxmlformats.org/officeDocument/2006/relationships/hyperlink" Target="mailto:jhernandez1.kromimarket@gmail.com" TargetMode="External"/><Relationship Id="rId311" Type="http://schemas.openxmlformats.org/officeDocument/2006/relationships/hyperlink" Target="mailto:rcrespokromimarket@gmail.com" TargetMode="External"/><Relationship Id="rId310" Type="http://schemas.openxmlformats.org/officeDocument/2006/relationships/hyperlink" Target="https://trello.com/c/CuckNy6B/456-no-mesclar-antiflamatorios"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8.0"/>
    <col customWidth="1" min="4" max="4" width="17.88"/>
    <col customWidth="1" min="5" max="16" width="18.88"/>
    <col customWidth="1" min="17" max="17" width="27.88"/>
    <col customWidth="1" min="18" max="28" width="18.88"/>
  </cols>
  <sheetData>
    <row r="1">
      <c r="A1" s="1" t="s">
        <v>0</v>
      </c>
      <c r="B1" s="2" t="s">
        <v>1</v>
      </c>
      <c r="C1" s="2" t="s">
        <v>2</v>
      </c>
      <c r="D1" s="3" t="s">
        <v>3</v>
      </c>
      <c r="E1" s="2" t="s">
        <v>4</v>
      </c>
      <c r="F1" s="2" t="s">
        <v>5</v>
      </c>
      <c r="G1" s="2" t="s">
        <v>6</v>
      </c>
      <c r="H1" s="2" t="s">
        <v>7</v>
      </c>
      <c r="I1" s="2" t="s">
        <v>8</v>
      </c>
      <c r="J1" s="4" t="s">
        <v>9</v>
      </c>
      <c r="K1" s="4" t="s">
        <v>10</v>
      </c>
      <c r="L1" s="2" t="s">
        <v>11</v>
      </c>
      <c r="M1" s="2" t="s">
        <v>12</v>
      </c>
      <c r="N1" s="2" t="s">
        <v>13</v>
      </c>
      <c r="O1" s="2" t="s">
        <v>14</v>
      </c>
      <c r="P1" s="2" t="s">
        <v>15</v>
      </c>
      <c r="Q1" s="1" t="s">
        <v>16</v>
      </c>
      <c r="R1" s="2" t="s">
        <v>17</v>
      </c>
      <c r="S1" s="2" t="s">
        <v>18</v>
      </c>
      <c r="T1" s="2" t="s">
        <v>19</v>
      </c>
      <c r="U1" s="2" t="s">
        <v>20</v>
      </c>
      <c r="V1" s="2" t="s">
        <v>21</v>
      </c>
    </row>
    <row r="2">
      <c r="A2" s="5">
        <v>46217.47549636574</v>
      </c>
      <c r="B2" s="6">
        <v>46245.0</v>
      </c>
      <c r="C2" s="7" t="s">
        <v>22</v>
      </c>
      <c r="D2" s="8" t="s">
        <v>23</v>
      </c>
      <c r="E2" s="7" t="s">
        <v>24</v>
      </c>
      <c r="F2" s="7" t="s">
        <v>25</v>
      </c>
      <c r="G2" s="9" t="s">
        <v>26</v>
      </c>
      <c r="H2" s="10" t="s">
        <v>27</v>
      </c>
      <c r="I2" s="10" t="s">
        <v>28</v>
      </c>
      <c r="J2" s="11">
        <f t="shared" ref="J2:J3" si="1">IF(I2="Terminado", IF(J2="", NOW(), J2), "")</f>
        <v>46220.5693</v>
      </c>
      <c r="K2" s="7" t="s">
        <v>29</v>
      </c>
      <c r="N2" s="7" t="s">
        <v>30</v>
      </c>
      <c r="P2" s="7" t="s">
        <v>30</v>
      </c>
      <c r="Q2" s="7" t="s">
        <v>26</v>
      </c>
    </row>
    <row r="3">
      <c r="A3" s="5">
        <v>46217.480829328706</v>
      </c>
      <c r="B3" s="6">
        <v>46241.0</v>
      </c>
      <c r="C3" s="7" t="s">
        <v>31</v>
      </c>
      <c r="D3" s="8" t="s">
        <v>32</v>
      </c>
      <c r="E3" s="7" t="s">
        <v>24</v>
      </c>
      <c r="F3" s="7" t="s">
        <v>25</v>
      </c>
      <c r="G3" s="9" t="s">
        <v>26</v>
      </c>
      <c r="H3" s="10" t="s">
        <v>27</v>
      </c>
      <c r="I3" s="10" t="s">
        <v>28</v>
      </c>
      <c r="J3" s="11">
        <f t="shared" si="1"/>
        <v>46220.41903</v>
      </c>
      <c r="K3" s="7" t="s">
        <v>29</v>
      </c>
      <c r="N3" s="7" t="s">
        <v>30</v>
      </c>
      <c r="P3" s="7" t="s">
        <v>30</v>
      </c>
      <c r="Q3" s="7" t="s">
        <v>26</v>
      </c>
    </row>
    <row r="4">
      <c r="A4" s="5">
        <v>46217.48370424769</v>
      </c>
      <c r="B4" s="6">
        <v>46272.0</v>
      </c>
      <c r="C4" s="7" t="s">
        <v>33</v>
      </c>
      <c r="D4" s="8" t="s">
        <v>34</v>
      </c>
      <c r="E4" s="7" t="s">
        <v>24</v>
      </c>
      <c r="F4" s="7" t="s">
        <v>25</v>
      </c>
      <c r="G4" s="9" t="s">
        <v>26</v>
      </c>
      <c r="H4" s="10" t="s">
        <v>27</v>
      </c>
      <c r="I4" s="10" t="s">
        <v>28</v>
      </c>
      <c r="J4" s="12">
        <v>46220.70486111111</v>
      </c>
      <c r="K4" s="7" t="s">
        <v>29</v>
      </c>
      <c r="N4" s="7" t="s">
        <v>30</v>
      </c>
      <c r="P4" s="7" t="s">
        <v>30</v>
      </c>
      <c r="Q4" s="7" t="s">
        <v>26</v>
      </c>
    </row>
    <row r="5">
      <c r="A5" s="5">
        <v>46217.49934574074</v>
      </c>
      <c r="B5" s="6">
        <v>46274.0</v>
      </c>
      <c r="C5" s="7" t="s">
        <v>35</v>
      </c>
      <c r="D5" s="8" t="s">
        <v>36</v>
      </c>
      <c r="E5" s="7" t="s">
        <v>24</v>
      </c>
      <c r="F5" s="7" t="s">
        <v>25</v>
      </c>
      <c r="G5" s="9" t="s">
        <v>26</v>
      </c>
      <c r="H5" s="10" t="s">
        <v>27</v>
      </c>
      <c r="I5" s="10" t="s">
        <v>28</v>
      </c>
      <c r="J5" s="12">
        <v>46224.64166666667</v>
      </c>
      <c r="K5" s="7" t="s">
        <v>29</v>
      </c>
      <c r="N5" s="7" t="s">
        <v>30</v>
      </c>
      <c r="P5" s="7" t="s">
        <v>30</v>
      </c>
      <c r="Q5" s="7" t="s">
        <v>26</v>
      </c>
    </row>
    <row r="6">
      <c r="A6" s="5">
        <v>46217.584381747685</v>
      </c>
      <c r="B6" s="6">
        <v>46223.0</v>
      </c>
      <c r="C6" s="7" t="s">
        <v>37</v>
      </c>
      <c r="D6" s="8" t="s">
        <v>38</v>
      </c>
      <c r="E6" s="7" t="s">
        <v>39</v>
      </c>
      <c r="F6" s="7" t="s">
        <v>25</v>
      </c>
      <c r="G6" s="13" t="s">
        <v>40</v>
      </c>
      <c r="H6" s="10" t="s">
        <v>27</v>
      </c>
      <c r="I6" s="10" t="s">
        <v>41</v>
      </c>
      <c r="J6" s="11" t="str">
        <f t="shared" ref="J6:J7" si="2">IF(I6="Terminado", IF(J6="", NOW(), J6), "")</f>
        <v/>
      </c>
      <c r="K6" s="7" t="s">
        <v>29</v>
      </c>
      <c r="N6" s="7" t="s">
        <v>30</v>
      </c>
      <c r="P6" s="7" t="s">
        <v>30</v>
      </c>
      <c r="Q6" s="7" t="s">
        <v>42</v>
      </c>
    </row>
    <row r="7">
      <c r="A7" s="14">
        <v>46219.0</v>
      </c>
      <c r="B7" s="6">
        <v>46220.0</v>
      </c>
      <c r="C7" s="7" t="s">
        <v>43</v>
      </c>
      <c r="D7" s="7" t="s">
        <v>44</v>
      </c>
      <c r="E7" s="7" t="s">
        <v>45</v>
      </c>
      <c r="F7" s="7" t="s">
        <v>25</v>
      </c>
      <c r="G7" s="13" t="s">
        <v>40</v>
      </c>
      <c r="H7" s="10" t="s">
        <v>27</v>
      </c>
      <c r="I7" s="10" t="s">
        <v>28</v>
      </c>
      <c r="J7" s="11">
        <f t="shared" si="2"/>
        <v>46220.56921</v>
      </c>
      <c r="K7" s="7" t="s">
        <v>46</v>
      </c>
      <c r="P7" s="7" t="s">
        <v>30</v>
      </c>
      <c r="Q7" s="7" t="s">
        <v>42</v>
      </c>
    </row>
    <row r="8">
      <c r="A8" s="5">
        <v>46220.63095637731</v>
      </c>
      <c r="B8" s="6">
        <v>46220.0</v>
      </c>
      <c r="C8" s="7" t="s">
        <v>47</v>
      </c>
      <c r="D8" s="7" t="s">
        <v>48</v>
      </c>
      <c r="E8" s="7" t="s">
        <v>24</v>
      </c>
      <c r="F8" s="7" t="s">
        <v>25</v>
      </c>
      <c r="G8" s="13" t="s">
        <v>40</v>
      </c>
      <c r="H8" s="10" t="s">
        <v>27</v>
      </c>
      <c r="I8" s="10" t="s">
        <v>28</v>
      </c>
      <c r="J8" s="12">
        <v>46220.6875</v>
      </c>
      <c r="K8" s="7" t="s">
        <v>29</v>
      </c>
      <c r="N8" s="7" t="s">
        <v>30</v>
      </c>
      <c r="P8" s="7" t="s">
        <v>30</v>
      </c>
      <c r="Q8" s="7" t="s">
        <v>42</v>
      </c>
      <c r="R8" s="7" t="s">
        <v>49</v>
      </c>
    </row>
    <row r="9">
      <c r="A9" s="5">
        <v>46223.60641287037</v>
      </c>
      <c r="B9" s="6">
        <v>46223.0</v>
      </c>
      <c r="C9" s="7" t="s">
        <v>50</v>
      </c>
      <c r="D9" s="7" t="s">
        <v>51</v>
      </c>
      <c r="E9" s="7" t="s">
        <v>45</v>
      </c>
      <c r="F9" s="7" t="s">
        <v>25</v>
      </c>
      <c r="G9" s="13" t="s">
        <v>26</v>
      </c>
      <c r="H9" s="10" t="s">
        <v>27</v>
      </c>
      <c r="I9" s="10" t="s">
        <v>28</v>
      </c>
      <c r="J9" s="12">
        <v>46223.65277777778</v>
      </c>
      <c r="K9" s="7" t="s">
        <v>46</v>
      </c>
      <c r="P9" s="7" t="s">
        <v>30</v>
      </c>
      <c r="Q9" s="7" t="s">
        <v>26</v>
      </c>
      <c r="R9" s="7" t="s">
        <v>52</v>
      </c>
    </row>
    <row r="10">
      <c r="A10" s="5">
        <v>46224.431285266204</v>
      </c>
      <c r="B10" s="6">
        <v>46224.0</v>
      </c>
      <c r="C10" s="7" t="s">
        <v>53</v>
      </c>
      <c r="D10" s="7" t="s">
        <v>53</v>
      </c>
      <c r="E10" s="7" t="s">
        <v>54</v>
      </c>
      <c r="F10" s="7" t="s">
        <v>25</v>
      </c>
      <c r="G10" s="13" t="s">
        <v>26</v>
      </c>
      <c r="H10" s="10" t="s">
        <v>27</v>
      </c>
      <c r="I10" s="10" t="s">
        <v>28</v>
      </c>
      <c r="J10" s="11">
        <f>IF(I10="Terminado", IF(J10="", NOW(), J10), "")</f>
        <v>46224.62538</v>
      </c>
      <c r="K10" s="7" t="s">
        <v>55</v>
      </c>
      <c r="P10" s="7" t="s">
        <v>30</v>
      </c>
      <c r="Q10" s="7" t="s">
        <v>26</v>
      </c>
      <c r="R10" s="7" t="s">
        <v>49</v>
      </c>
    </row>
    <row r="11">
      <c r="A11" s="5">
        <v>46224.433355393514</v>
      </c>
      <c r="B11" s="6">
        <v>46227.0</v>
      </c>
      <c r="C11" s="7" t="s">
        <v>56</v>
      </c>
      <c r="D11" s="8" t="s">
        <v>57</v>
      </c>
      <c r="E11" s="7" t="s">
        <v>58</v>
      </c>
      <c r="F11" s="7" t="s">
        <v>25</v>
      </c>
      <c r="G11" s="13" t="s">
        <v>40</v>
      </c>
      <c r="H11" s="10" t="s">
        <v>27</v>
      </c>
      <c r="I11" s="10" t="s">
        <v>28</v>
      </c>
      <c r="J11" s="12">
        <v>46225.5625</v>
      </c>
      <c r="K11" s="7" t="s">
        <v>29</v>
      </c>
      <c r="N11" s="7" t="s">
        <v>30</v>
      </c>
      <c r="P11" s="7" t="s">
        <v>30</v>
      </c>
      <c r="Q11" s="7" t="s">
        <v>42</v>
      </c>
      <c r="R11" s="7" t="s">
        <v>59</v>
      </c>
    </row>
    <row r="12">
      <c r="A12" s="5">
        <v>46224.61932341435</v>
      </c>
      <c r="B12" s="6">
        <v>46224.0</v>
      </c>
      <c r="C12" s="7" t="s">
        <v>60</v>
      </c>
      <c r="D12" s="7" t="s">
        <v>60</v>
      </c>
      <c r="E12" s="7" t="s">
        <v>54</v>
      </c>
      <c r="F12" s="7" t="s">
        <v>25</v>
      </c>
      <c r="G12" s="13" t="s">
        <v>26</v>
      </c>
      <c r="H12" s="10" t="s">
        <v>27</v>
      </c>
      <c r="I12" s="10" t="s">
        <v>28</v>
      </c>
      <c r="J12" s="12">
        <v>46224.64166666667</v>
      </c>
      <c r="K12" s="7" t="s">
        <v>55</v>
      </c>
      <c r="P12" s="7" t="s">
        <v>30</v>
      </c>
      <c r="Q12" s="7" t="s">
        <v>26</v>
      </c>
      <c r="R12" s="7" t="s">
        <v>49</v>
      </c>
    </row>
    <row r="13">
      <c r="A13" s="5">
        <v>46225.39683615741</v>
      </c>
      <c r="B13" s="6">
        <v>46237.0</v>
      </c>
      <c r="C13" s="15" t="s">
        <v>61</v>
      </c>
      <c r="D13" s="7" t="s">
        <v>62</v>
      </c>
      <c r="E13" s="7" t="s">
        <v>63</v>
      </c>
      <c r="F13" s="7" t="s">
        <v>25</v>
      </c>
      <c r="G13" s="13" t="s">
        <v>64</v>
      </c>
      <c r="H13" s="10" t="s">
        <v>27</v>
      </c>
      <c r="I13" s="10" t="s">
        <v>41</v>
      </c>
      <c r="J13" s="11" t="str">
        <f t="shared" ref="J13:J14" si="3">IF(I13="Terminado", IF(J13="", NOW(), J13), "")</f>
        <v/>
      </c>
      <c r="K13" s="7" t="s">
        <v>29</v>
      </c>
      <c r="N13" s="7" t="s">
        <v>65</v>
      </c>
      <c r="P13" s="7" t="s">
        <v>66</v>
      </c>
      <c r="Q13" s="7" t="s">
        <v>64</v>
      </c>
      <c r="R13" s="7" t="s">
        <v>67</v>
      </c>
    </row>
    <row r="14">
      <c r="A14" s="5">
        <v>46225.410208333335</v>
      </c>
      <c r="B14" s="6">
        <v>46237.0</v>
      </c>
      <c r="C14" s="15" t="s">
        <v>68</v>
      </c>
      <c r="D14" s="7" t="s">
        <v>69</v>
      </c>
      <c r="E14" s="7" t="s">
        <v>70</v>
      </c>
      <c r="F14" s="7" t="s">
        <v>25</v>
      </c>
      <c r="G14" s="13" t="s">
        <v>64</v>
      </c>
      <c r="H14" s="10" t="s">
        <v>71</v>
      </c>
      <c r="I14" s="10" t="s">
        <v>28</v>
      </c>
      <c r="J14" s="11">
        <f t="shared" si="3"/>
        <v>46266.37479</v>
      </c>
      <c r="K14" s="7" t="s">
        <v>29</v>
      </c>
      <c r="N14" s="7" t="s">
        <v>65</v>
      </c>
      <c r="P14" s="7" t="s">
        <v>66</v>
      </c>
      <c r="Q14" s="7" t="s">
        <v>64</v>
      </c>
      <c r="R14" s="7" t="s">
        <v>49</v>
      </c>
    </row>
    <row r="15">
      <c r="A15" s="5">
        <v>46226.61936241898</v>
      </c>
      <c r="B15" s="6">
        <v>46226.0</v>
      </c>
      <c r="C15" s="7" t="s">
        <v>72</v>
      </c>
      <c r="D15" s="7" t="s">
        <v>72</v>
      </c>
      <c r="E15" s="7" t="s">
        <v>73</v>
      </c>
      <c r="F15" s="7" t="s">
        <v>25</v>
      </c>
      <c r="G15" s="13" t="s">
        <v>26</v>
      </c>
      <c r="H15" s="10" t="s">
        <v>27</v>
      </c>
      <c r="I15" s="10" t="s">
        <v>28</v>
      </c>
      <c r="J15" s="12">
        <v>46226.0</v>
      </c>
      <c r="K15" s="7" t="s">
        <v>46</v>
      </c>
      <c r="P15" s="7" t="s">
        <v>30</v>
      </c>
      <c r="Q15" s="7" t="s">
        <v>26</v>
      </c>
      <c r="R15" s="7" t="s">
        <v>49</v>
      </c>
    </row>
    <row r="16">
      <c r="A16" s="5">
        <v>46226.705601967595</v>
      </c>
      <c r="B16" s="6">
        <v>46233.0</v>
      </c>
      <c r="C16" s="15" t="s">
        <v>74</v>
      </c>
      <c r="D16" s="8" t="s">
        <v>75</v>
      </c>
      <c r="E16" s="7" t="s">
        <v>39</v>
      </c>
      <c r="F16" s="7" t="s">
        <v>25</v>
      </c>
      <c r="G16" s="13" t="s">
        <v>40</v>
      </c>
      <c r="H16" s="10" t="s">
        <v>71</v>
      </c>
      <c r="I16" s="10" t="s">
        <v>41</v>
      </c>
      <c r="J16" s="11" t="str">
        <f t="shared" ref="J16:J17" si="4">IF(I16="Terminado", IF(J16="", NOW(), J16), "")</f>
        <v/>
      </c>
      <c r="K16" s="7" t="s">
        <v>29</v>
      </c>
      <c r="L16" s="7" t="s">
        <v>76</v>
      </c>
      <c r="N16" s="7" t="s">
        <v>30</v>
      </c>
      <c r="P16" s="7" t="s">
        <v>30</v>
      </c>
      <c r="Q16" s="7" t="s">
        <v>42</v>
      </c>
      <c r="R16" s="7" t="s">
        <v>52</v>
      </c>
    </row>
    <row r="17">
      <c r="A17" s="5">
        <v>46230.34497611111</v>
      </c>
      <c r="B17" s="6">
        <v>46234.0</v>
      </c>
      <c r="C17" s="15" t="s">
        <v>77</v>
      </c>
      <c r="D17" s="8" t="s">
        <v>78</v>
      </c>
      <c r="E17" s="7" t="s">
        <v>79</v>
      </c>
      <c r="F17" s="7" t="s">
        <v>25</v>
      </c>
      <c r="G17" s="13" t="s">
        <v>40</v>
      </c>
      <c r="H17" s="10" t="s">
        <v>27</v>
      </c>
      <c r="I17" s="10" t="s">
        <v>28</v>
      </c>
      <c r="J17" s="11">
        <f t="shared" si="4"/>
        <v>46233.48813</v>
      </c>
      <c r="K17" s="7" t="s">
        <v>29</v>
      </c>
      <c r="L17" s="8" t="s">
        <v>80</v>
      </c>
      <c r="N17" s="7" t="s">
        <v>30</v>
      </c>
      <c r="P17" s="7" t="s">
        <v>30</v>
      </c>
      <c r="Q17" s="7" t="s">
        <v>42</v>
      </c>
      <c r="R17" s="7" t="s">
        <v>49</v>
      </c>
    </row>
    <row r="18">
      <c r="A18" s="5">
        <v>46230.366033391205</v>
      </c>
      <c r="B18" s="6">
        <v>46234.0</v>
      </c>
      <c r="C18" s="15" t="s">
        <v>81</v>
      </c>
      <c r="D18" s="8" t="s">
        <v>82</v>
      </c>
      <c r="E18" s="7" t="s">
        <v>83</v>
      </c>
      <c r="F18" s="7" t="s">
        <v>25</v>
      </c>
      <c r="G18" s="13" t="s">
        <v>40</v>
      </c>
      <c r="H18" s="10" t="s">
        <v>71</v>
      </c>
      <c r="I18" s="10" t="s">
        <v>28</v>
      </c>
      <c r="J18" s="12">
        <v>46230.0</v>
      </c>
      <c r="K18" s="7" t="s">
        <v>29</v>
      </c>
      <c r="L18" s="8" t="s">
        <v>84</v>
      </c>
      <c r="N18" s="7" t="s">
        <v>30</v>
      </c>
      <c r="P18" s="7" t="s">
        <v>30</v>
      </c>
      <c r="Q18" s="7" t="s">
        <v>42</v>
      </c>
      <c r="R18" s="7" t="s">
        <v>49</v>
      </c>
    </row>
    <row r="19">
      <c r="A19" s="5">
        <v>46230.61993359953</v>
      </c>
      <c r="B19" s="6">
        <v>46234.0</v>
      </c>
      <c r="C19" s="15" t="s">
        <v>85</v>
      </c>
      <c r="D19" s="8" t="s">
        <v>86</v>
      </c>
      <c r="E19" s="7" t="s">
        <v>87</v>
      </c>
      <c r="F19" s="7" t="s">
        <v>25</v>
      </c>
      <c r="G19" s="13" t="s">
        <v>40</v>
      </c>
      <c r="H19" s="10" t="s">
        <v>27</v>
      </c>
      <c r="I19" s="10" t="s">
        <v>41</v>
      </c>
      <c r="J19" s="11" t="str">
        <f t="shared" ref="J19:J21" si="5">IF(I19="Terminado", IF(J19="", NOW(), J19), "")</f>
        <v/>
      </c>
      <c r="K19" s="7" t="s">
        <v>29</v>
      </c>
      <c r="N19" s="7" t="s">
        <v>30</v>
      </c>
      <c r="P19" s="7" t="s">
        <v>30</v>
      </c>
      <c r="Q19" s="7" t="s">
        <v>42</v>
      </c>
      <c r="R19" s="7" t="s">
        <v>52</v>
      </c>
    </row>
    <row r="20">
      <c r="A20" s="5">
        <v>46230.62275516204</v>
      </c>
      <c r="B20" s="6">
        <v>46234.0</v>
      </c>
      <c r="C20" s="15" t="s">
        <v>88</v>
      </c>
      <c r="D20" s="8" t="s">
        <v>89</v>
      </c>
      <c r="E20" s="7" t="s">
        <v>24</v>
      </c>
      <c r="F20" s="7" t="s">
        <v>25</v>
      </c>
      <c r="G20" s="13" t="s">
        <v>40</v>
      </c>
      <c r="H20" s="10" t="s">
        <v>27</v>
      </c>
      <c r="I20" s="10" t="s">
        <v>28</v>
      </c>
      <c r="J20" s="11">
        <f t="shared" si="5"/>
        <v>46234.69594</v>
      </c>
      <c r="K20" s="7" t="s">
        <v>29</v>
      </c>
      <c r="N20" s="7" t="s">
        <v>30</v>
      </c>
      <c r="P20" s="7" t="s">
        <v>30</v>
      </c>
      <c r="Q20" s="7" t="s">
        <v>42</v>
      </c>
      <c r="R20" s="7" t="s">
        <v>90</v>
      </c>
    </row>
    <row r="21">
      <c r="A21" s="5">
        <v>46230.62645039352</v>
      </c>
      <c r="B21" s="6">
        <v>46234.0</v>
      </c>
      <c r="C21" s="15" t="s">
        <v>91</v>
      </c>
      <c r="D21" s="8" t="s">
        <v>92</v>
      </c>
      <c r="E21" s="7" t="s">
        <v>24</v>
      </c>
      <c r="F21" s="7" t="s">
        <v>25</v>
      </c>
      <c r="G21" s="13" t="s">
        <v>40</v>
      </c>
      <c r="H21" s="10" t="s">
        <v>71</v>
      </c>
      <c r="I21" s="10" t="s">
        <v>28</v>
      </c>
      <c r="J21" s="11">
        <f t="shared" si="5"/>
        <v>46234.68678</v>
      </c>
      <c r="K21" s="7" t="s">
        <v>29</v>
      </c>
      <c r="N21" s="7" t="s">
        <v>30</v>
      </c>
      <c r="P21" s="7" t="s">
        <v>30</v>
      </c>
      <c r="Q21" s="7" t="s">
        <v>42</v>
      </c>
      <c r="R21" s="7" t="s">
        <v>90</v>
      </c>
    </row>
    <row r="22">
      <c r="A22" s="5">
        <v>46231.34130446759</v>
      </c>
      <c r="B22" s="6">
        <v>46231.0</v>
      </c>
      <c r="C22" s="7" t="s">
        <v>72</v>
      </c>
      <c r="D22" s="7" t="s">
        <v>72</v>
      </c>
      <c r="E22" s="7" t="s">
        <v>93</v>
      </c>
      <c r="F22" s="7" t="s">
        <v>25</v>
      </c>
      <c r="G22" s="13" t="s">
        <v>26</v>
      </c>
      <c r="H22" s="10" t="s">
        <v>27</v>
      </c>
      <c r="I22" s="10" t="s">
        <v>28</v>
      </c>
      <c r="J22" s="12">
        <v>46231.0</v>
      </c>
      <c r="K22" s="7" t="s">
        <v>46</v>
      </c>
      <c r="P22" s="7" t="s">
        <v>30</v>
      </c>
      <c r="Q22" s="7" t="s">
        <v>26</v>
      </c>
      <c r="R22" s="7" t="s">
        <v>49</v>
      </c>
    </row>
    <row r="23">
      <c r="A23" s="5">
        <v>46231.41370013889</v>
      </c>
      <c r="B23" s="6">
        <v>46231.0</v>
      </c>
      <c r="C23" s="7" t="s">
        <v>60</v>
      </c>
      <c r="D23" s="7" t="s">
        <v>60</v>
      </c>
      <c r="E23" s="7" t="s">
        <v>94</v>
      </c>
      <c r="F23" s="7" t="s">
        <v>25</v>
      </c>
      <c r="G23" s="13" t="s">
        <v>26</v>
      </c>
      <c r="H23" s="10" t="s">
        <v>27</v>
      </c>
      <c r="I23" s="10" t="s">
        <v>28</v>
      </c>
      <c r="J23" s="12">
        <v>46231.0</v>
      </c>
      <c r="K23" s="7" t="s">
        <v>55</v>
      </c>
      <c r="P23" s="7" t="s">
        <v>30</v>
      </c>
      <c r="Q23" s="7" t="s">
        <v>26</v>
      </c>
      <c r="R23" s="7" t="s">
        <v>49</v>
      </c>
    </row>
    <row r="24">
      <c r="A24" s="5">
        <v>46231.67293193287</v>
      </c>
      <c r="B24" s="6">
        <v>46234.0</v>
      </c>
      <c r="C24" s="15" t="s">
        <v>95</v>
      </c>
      <c r="D24" s="8" t="s">
        <v>96</v>
      </c>
      <c r="E24" s="7" t="s">
        <v>58</v>
      </c>
      <c r="F24" s="7" t="s">
        <v>25</v>
      </c>
      <c r="G24" s="13" t="s">
        <v>40</v>
      </c>
      <c r="H24" s="10" t="s">
        <v>71</v>
      </c>
      <c r="I24" s="10" t="s">
        <v>28</v>
      </c>
      <c r="J24" s="11">
        <f>IF(I24="Terminado", IF(J24="", NOW(), J24), "")</f>
        <v>46234.44951</v>
      </c>
      <c r="K24" s="7" t="s">
        <v>29</v>
      </c>
      <c r="N24" s="7" t="s">
        <v>30</v>
      </c>
      <c r="P24" s="7" t="s">
        <v>30</v>
      </c>
      <c r="Q24" s="7" t="s">
        <v>42</v>
      </c>
      <c r="R24" s="7" t="s">
        <v>90</v>
      </c>
    </row>
    <row r="25">
      <c r="A25" s="5">
        <v>46232.38003755787</v>
      </c>
      <c r="B25" s="6">
        <v>46237.0</v>
      </c>
      <c r="C25" s="7" t="s">
        <v>97</v>
      </c>
      <c r="D25" s="8" t="s">
        <v>98</v>
      </c>
      <c r="E25" s="7" t="s">
        <v>58</v>
      </c>
      <c r="F25" s="7" t="s">
        <v>25</v>
      </c>
      <c r="G25" s="13" t="s">
        <v>26</v>
      </c>
      <c r="H25" s="10" t="s">
        <v>27</v>
      </c>
      <c r="I25" s="10" t="s">
        <v>28</v>
      </c>
      <c r="J25" s="12">
        <v>46237.0</v>
      </c>
      <c r="K25" s="7" t="s">
        <v>29</v>
      </c>
      <c r="N25" s="7" t="s">
        <v>30</v>
      </c>
      <c r="P25" s="7" t="s">
        <v>30</v>
      </c>
      <c r="Q25" s="7" t="s">
        <v>26</v>
      </c>
      <c r="R25" s="7" t="s">
        <v>52</v>
      </c>
    </row>
    <row r="26">
      <c r="A26" s="5">
        <v>46232.479402372686</v>
      </c>
      <c r="B26" s="6">
        <v>46239.0</v>
      </c>
      <c r="C26" s="7" t="s">
        <v>99</v>
      </c>
      <c r="D26" s="8" t="s">
        <v>100</v>
      </c>
      <c r="E26" s="7" t="s">
        <v>58</v>
      </c>
      <c r="F26" s="7" t="s">
        <v>25</v>
      </c>
      <c r="G26" s="13" t="s">
        <v>26</v>
      </c>
      <c r="H26" s="10" t="s">
        <v>27</v>
      </c>
      <c r="I26" s="10" t="s">
        <v>28</v>
      </c>
      <c r="J26" s="12">
        <v>46244.0</v>
      </c>
      <c r="K26" s="7" t="s">
        <v>29</v>
      </c>
      <c r="N26" s="7" t="s">
        <v>30</v>
      </c>
      <c r="P26" s="7" t="s">
        <v>30</v>
      </c>
      <c r="Q26" s="7" t="s">
        <v>26</v>
      </c>
      <c r="R26" s="7" t="s">
        <v>52</v>
      </c>
    </row>
    <row r="27">
      <c r="A27" s="5">
        <v>46232.52422681713</v>
      </c>
      <c r="B27" s="6">
        <v>46234.0</v>
      </c>
      <c r="C27" s="15" t="s">
        <v>101</v>
      </c>
      <c r="D27" s="8" t="s">
        <v>102</v>
      </c>
      <c r="E27" s="7" t="s">
        <v>58</v>
      </c>
      <c r="F27" s="7" t="s">
        <v>25</v>
      </c>
      <c r="G27" s="13" t="s">
        <v>40</v>
      </c>
      <c r="H27" s="10" t="s">
        <v>71</v>
      </c>
      <c r="I27" s="10" t="s">
        <v>28</v>
      </c>
      <c r="J27" s="11">
        <f>IF(I27="Terminado", IF(J27="", NOW(), J27), "")</f>
        <v>46234.68578</v>
      </c>
      <c r="K27" s="7" t="s">
        <v>29</v>
      </c>
      <c r="N27" s="7" t="s">
        <v>30</v>
      </c>
      <c r="P27" s="7" t="s">
        <v>30</v>
      </c>
      <c r="Q27" s="7" t="s">
        <v>42</v>
      </c>
      <c r="R27" s="7" t="s">
        <v>90</v>
      </c>
    </row>
    <row r="28">
      <c r="A28" s="5">
        <v>46232.54080122685</v>
      </c>
      <c r="B28" s="6">
        <v>46240.0</v>
      </c>
      <c r="C28" s="15" t="s">
        <v>103</v>
      </c>
      <c r="D28" s="8" t="s">
        <v>104</v>
      </c>
      <c r="E28" s="7" t="s">
        <v>87</v>
      </c>
      <c r="F28" s="7" t="s">
        <v>25</v>
      </c>
      <c r="G28" s="13" t="s">
        <v>40</v>
      </c>
      <c r="H28" s="10" t="s">
        <v>27</v>
      </c>
      <c r="I28" s="10" t="s">
        <v>28</v>
      </c>
      <c r="J28" s="12">
        <v>46244.0</v>
      </c>
      <c r="K28" s="7" t="s">
        <v>29</v>
      </c>
      <c r="N28" s="7" t="s">
        <v>30</v>
      </c>
      <c r="P28" s="7" t="s">
        <v>30</v>
      </c>
      <c r="Q28" s="7" t="s">
        <v>42</v>
      </c>
      <c r="R28" s="7" t="s">
        <v>49</v>
      </c>
    </row>
    <row r="29">
      <c r="A29" s="5">
        <v>46234.371379421296</v>
      </c>
      <c r="B29" s="6">
        <v>46234.0</v>
      </c>
      <c r="C29" s="7" t="s">
        <v>105</v>
      </c>
      <c r="D29" s="7" t="s">
        <v>106</v>
      </c>
      <c r="E29" s="7" t="s">
        <v>107</v>
      </c>
      <c r="F29" s="7" t="s">
        <v>25</v>
      </c>
      <c r="G29" s="13" t="s">
        <v>26</v>
      </c>
      <c r="H29" s="10" t="s">
        <v>27</v>
      </c>
      <c r="I29" s="10" t="s">
        <v>28</v>
      </c>
      <c r="J29" s="11">
        <f>IF(I29="Terminado", IF(J29="", NOW(), J29), "")</f>
        <v>46234.47795</v>
      </c>
      <c r="K29" s="7" t="s">
        <v>46</v>
      </c>
      <c r="P29" s="7" t="s">
        <v>30</v>
      </c>
      <c r="Q29" s="7" t="s">
        <v>42</v>
      </c>
      <c r="R29" s="7" t="s">
        <v>49</v>
      </c>
    </row>
    <row r="30">
      <c r="A30" s="5">
        <v>46238.38512811343</v>
      </c>
      <c r="B30" s="6">
        <v>46238.0</v>
      </c>
      <c r="C30" s="7" t="s">
        <v>72</v>
      </c>
      <c r="D30" s="7" t="s">
        <v>72</v>
      </c>
      <c r="E30" s="7" t="s">
        <v>108</v>
      </c>
      <c r="F30" s="7" t="s">
        <v>25</v>
      </c>
      <c r="G30" s="13" t="s">
        <v>26</v>
      </c>
      <c r="H30" s="10" t="s">
        <v>27</v>
      </c>
      <c r="I30" s="10" t="s">
        <v>28</v>
      </c>
      <c r="J30" s="12">
        <v>46237.0</v>
      </c>
      <c r="K30" s="7" t="s">
        <v>46</v>
      </c>
      <c r="P30" s="7" t="s">
        <v>30</v>
      </c>
      <c r="Q30" s="7" t="s">
        <v>26</v>
      </c>
      <c r="R30" s="7" t="s">
        <v>49</v>
      </c>
    </row>
    <row r="31">
      <c r="A31" s="5">
        <v>46238.38948810185</v>
      </c>
      <c r="B31" s="6">
        <v>46238.0</v>
      </c>
      <c r="C31" s="7" t="s">
        <v>60</v>
      </c>
      <c r="D31" s="7" t="s">
        <v>60</v>
      </c>
      <c r="E31" s="7" t="s">
        <v>109</v>
      </c>
      <c r="F31" s="7" t="s">
        <v>25</v>
      </c>
      <c r="G31" s="13" t="s">
        <v>26</v>
      </c>
      <c r="H31" s="10" t="s">
        <v>27</v>
      </c>
      <c r="I31" s="10" t="s">
        <v>28</v>
      </c>
      <c r="J31" s="11">
        <f t="shared" ref="J31:J33" si="6">IF(I31="Terminado", IF(J31="", NOW(), J31), "")</f>
        <v>46238.70886</v>
      </c>
      <c r="K31" s="7" t="s">
        <v>55</v>
      </c>
      <c r="P31" s="7" t="s">
        <v>30</v>
      </c>
      <c r="Q31" s="7" t="s">
        <v>26</v>
      </c>
      <c r="R31" s="7" t="s">
        <v>49</v>
      </c>
    </row>
    <row r="32">
      <c r="A32" s="5">
        <v>46238.39000559028</v>
      </c>
      <c r="B32" s="6">
        <v>46238.0</v>
      </c>
      <c r="C32" s="7" t="s">
        <v>53</v>
      </c>
      <c r="D32" s="7" t="s">
        <v>53</v>
      </c>
      <c r="E32" s="7" t="s">
        <v>79</v>
      </c>
      <c r="F32" s="7" t="s">
        <v>25</v>
      </c>
      <c r="G32" s="13" t="s">
        <v>26</v>
      </c>
      <c r="H32" s="10" t="s">
        <v>27</v>
      </c>
      <c r="I32" s="10" t="s">
        <v>28</v>
      </c>
      <c r="J32" s="11">
        <f t="shared" si="6"/>
        <v>46238.70888</v>
      </c>
      <c r="K32" s="7" t="s">
        <v>55</v>
      </c>
      <c r="P32" s="7" t="s">
        <v>30</v>
      </c>
      <c r="Q32" s="7" t="s">
        <v>26</v>
      </c>
      <c r="R32" s="7" t="s">
        <v>49</v>
      </c>
    </row>
    <row r="33">
      <c r="A33" s="5">
        <v>46238.55940358796</v>
      </c>
      <c r="B33" s="6">
        <v>46244.0</v>
      </c>
      <c r="C33" s="7" t="s">
        <v>110</v>
      </c>
      <c r="D33" s="7" t="s">
        <v>111</v>
      </c>
      <c r="E33" s="7" t="s">
        <v>87</v>
      </c>
      <c r="F33" s="7" t="s">
        <v>25</v>
      </c>
      <c r="G33" s="13" t="s">
        <v>112</v>
      </c>
      <c r="H33" s="10" t="s">
        <v>27</v>
      </c>
      <c r="I33" s="10" t="s">
        <v>28</v>
      </c>
      <c r="J33" s="11">
        <f t="shared" si="6"/>
        <v>46246.34102</v>
      </c>
      <c r="K33" s="7" t="s">
        <v>46</v>
      </c>
      <c r="L33" s="8" t="s">
        <v>113</v>
      </c>
      <c r="N33" s="7" t="s">
        <v>65</v>
      </c>
      <c r="P33" s="7" t="s">
        <v>30</v>
      </c>
      <c r="Q33" s="7" t="s">
        <v>112</v>
      </c>
      <c r="R33" s="7" t="s">
        <v>49</v>
      </c>
    </row>
    <row r="34">
      <c r="A34" s="5">
        <v>46238.623136967595</v>
      </c>
      <c r="B34" s="6">
        <v>46241.0</v>
      </c>
      <c r="C34" s="7" t="s">
        <v>114</v>
      </c>
      <c r="D34" s="8" t="s">
        <v>115</v>
      </c>
      <c r="E34" s="7" t="s">
        <v>39</v>
      </c>
      <c r="F34" s="7" t="s">
        <v>25</v>
      </c>
      <c r="G34" s="13" t="s">
        <v>26</v>
      </c>
      <c r="H34" s="10" t="s">
        <v>27</v>
      </c>
      <c r="I34" s="10" t="s">
        <v>28</v>
      </c>
      <c r="J34" s="16">
        <v>46258.520833333336</v>
      </c>
      <c r="K34" s="7" t="s">
        <v>29</v>
      </c>
      <c r="N34" s="7" t="s">
        <v>30</v>
      </c>
      <c r="P34" s="7" t="s">
        <v>30</v>
      </c>
      <c r="Q34" s="7" t="s">
        <v>26</v>
      </c>
      <c r="R34" s="7" t="s">
        <v>116</v>
      </c>
    </row>
    <row r="35">
      <c r="A35" s="5">
        <v>46238.65719291667</v>
      </c>
      <c r="B35" s="6">
        <v>46240.0</v>
      </c>
      <c r="C35" s="7" t="s">
        <v>117</v>
      </c>
      <c r="D35" s="8" t="s">
        <v>118</v>
      </c>
      <c r="E35" s="7" t="s">
        <v>87</v>
      </c>
      <c r="F35" s="7" t="s">
        <v>25</v>
      </c>
      <c r="G35" s="13" t="s">
        <v>40</v>
      </c>
      <c r="H35" s="10" t="s">
        <v>27</v>
      </c>
      <c r="I35" s="10" t="s">
        <v>28</v>
      </c>
      <c r="J35" s="12">
        <v>46248.0</v>
      </c>
      <c r="K35" s="7" t="s">
        <v>29</v>
      </c>
      <c r="N35" s="7" t="s">
        <v>119</v>
      </c>
      <c r="P35" s="7" t="s">
        <v>30</v>
      </c>
      <c r="Q35" s="7" t="s">
        <v>42</v>
      </c>
      <c r="R35" s="7" t="s">
        <v>52</v>
      </c>
    </row>
    <row r="36">
      <c r="A36" s="5">
        <v>46238.69042491898</v>
      </c>
      <c r="B36" s="6">
        <v>46241.0</v>
      </c>
      <c r="C36" s="7" t="s">
        <v>120</v>
      </c>
      <c r="D36" s="8" t="s">
        <v>121</v>
      </c>
      <c r="E36" s="7" t="s">
        <v>87</v>
      </c>
      <c r="F36" s="7" t="s">
        <v>25</v>
      </c>
      <c r="G36" s="13" t="s">
        <v>40</v>
      </c>
      <c r="H36" s="10" t="s">
        <v>27</v>
      </c>
      <c r="I36" s="10" t="s">
        <v>28</v>
      </c>
      <c r="J36" s="12">
        <v>46251.0</v>
      </c>
      <c r="K36" s="7" t="s">
        <v>29</v>
      </c>
      <c r="N36" s="7" t="s">
        <v>119</v>
      </c>
      <c r="P36" s="7" t="s">
        <v>30</v>
      </c>
      <c r="Q36" s="7" t="s">
        <v>42</v>
      </c>
      <c r="R36" s="7" t="s">
        <v>52</v>
      </c>
    </row>
    <row r="37">
      <c r="A37" s="5">
        <v>46238.6952637037</v>
      </c>
      <c r="B37" s="6">
        <v>46245.0</v>
      </c>
      <c r="C37" s="7" t="s">
        <v>122</v>
      </c>
      <c r="D37" s="8" t="s">
        <v>123</v>
      </c>
      <c r="E37" s="7" t="s">
        <v>58</v>
      </c>
      <c r="F37" s="7" t="s">
        <v>25</v>
      </c>
      <c r="G37" s="13" t="s">
        <v>26</v>
      </c>
      <c r="H37" s="10" t="s">
        <v>27</v>
      </c>
      <c r="I37" s="10" t="s">
        <v>28</v>
      </c>
      <c r="J37" s="11">
        <f t="shared" ref="J37:J38" si="7">IF(I37="Terminado", IF(J37="", NOW(), J37), "")</f>
        <v>46260.62673</v>
      </c>
      <c r="K37" s="7" t="s">
        <v>29</v>
      </c>
      <c r="N37" s="7" t="s">
        <v>30</v>
      </c>
      <c r="P37" s="7" t="s">
        <v>30</v>
      </c>
      <c r="Q37" s="7" t="s">
        <v>26</v>
      </c>
      <c r="R37" s="7" t="s">
        <v>52</v>
      </c>
    </row>
    <row r="38">
      <c r="A38" s="5">
        <v>46241.39982471065</v>
      </c>
      <c r="B38" s="6">
        <v>46241.0</v>
      </c>
      <c r="C38" s="7" t="s">
        <v>72</v>
      </c>
      <c r="D38" s="7" t="s">
        <v>72</v>
      </c>
      <c r="E38" s="7" t="s">
        <v>124</v>
      </c>
      <c r="F38" s="7" t="s">
        <v>25</v>
      </c>
      <c r="G38" s="13" t="s">
        <v>26</v>
      </c>
      <c r="H38" s="10" t="s">
        <v>27</v>
      </c>
      <c r="I38" s="10" t="s">
        <v>28</v>
      </c>
      <c r="J38" s="11">
        <f t="shared" si="7"/>
        <v>46242.31958</v>
      </c>
      <c r="K38" s="7" t="s">
        <v>46</v>
      </c>
      <c r="P38" s="7" t="s">
        <v>30</v>
      </c>
      <c r="Q38" s="7" t="s">
        <v>26</v>
      </c>
      <c r="R38" s="7" t="s">
        <v>49</v>
      </c>
    </row>
    <row r="39">
      <c r="A39" s="5">
        <v>46241.454066446764</v>
      </c>
      <c r="B39" s="6">
        <v>46241.0</v>
      </c>
      <c r="C39" s="7" t="s">
        <v>125</v>
      </c>
      <c r="D39" s="7" t="s">
        <v>126</v>
      </c>
      <c r="F39" s="7" t="s">
        <v>25</v>
      </c>
      <c r="G39" s="13" t="s">
        <v>127</v>
      </c>
      <c r="H39" s="10" t="s">
        <v>27</v>
      </c>
      <c r="I39" s="10" t="s">
        <v>28</v>
      </c>
      <c r="J39" s="12">
        <v>46241.0</v>
      </c>
      <c r="K39" s="7" t="s">
        <v>29</v>
      </c>
      <c r="M39" s="7" t="s">
        <v>128</v>
      </c>
      <c r="N39" s="7" t="s">
        <v>129</v>
      </c>
      <c r="P39" s="7" t="s">
        <v>130</v>
      </c>
      <c r="Q39" s="7" t="s">
        <v>127</v>
      </c>
      <c r="R39" s="7" t="s">
        <v>52</v>
      </c>
      <c r="U39" s="7" t="s">
        <v>131</v>
      </c>
      <c r="V39" s="7" t="s">
        <v>132</v>
      </c>
    </row>
    <row r="40">
      <c r="A40" s="5">
        <v>46245.385316342596</v>
      </c>
      <c r="B40" s="6">
        <v>46245.0</v>
      </c>
      <c r="C40" s="7" t="s">
        <v>72</v>
      </c>
      <c r="D40" s="7" t="s">
        <v>72</v>
      </c>
      <c r="E40" s="7" t="s">
        <v>133</v>
      </c>
      <c r="F40" s="7" t="s">
        <v>25</v>
      </c>
      <c r="G40" s="17" t="s">
        <v>134</v>
      </c>
      <c r="H40" s="10" t="s">
        <v>27</v>
      </c>
      <c r="I40" s="10" t="s">
        <v>28</v>
      </c>
      <c r="J40" s="11">
        <f t="shared" ref="J40:J45" si="8">IF(I40="Terminado", IF(J40="", NOW(), J40), "")</f>
        <v>0</v>
      </c>
      <c r="K40" s="7" t="s">
        <v>46</v>
      </c>
      <c r="P40" s="7" t="s">
        <v>30</v>
      </c>
      <c r="Q40" s="7" t="s">
        <v>26</v>
      </c>
      <c r="R40" s="7" t="s">
        <v>52</v>
      </c>
    </row>
    <row r="41">
      <c r="A41" s="5">
        <v>46245.693995486115</v>
      </c>
      <c r="B41" s="6">
        <v>46245.0</v>
      </c>
      <c r="C41" s="7" t="s">
        <v>60</v>
      </c>
      <c r="D41" s="7" t="s">
        <v>60</v>
      </c>
      <c r="E41" s="7" t="s">
        <v>124</v>
      </c>
      <c r="F41" s="7" t="s">
        <v>25</v>
      </c>
      <c r="G41" s="13" t="s">
        <v>26</v>
      </c>
      <c r="H41" s="10" t="s">
        <v>27</v>
      </c>
      <c r="I41" s="10" t="s">
        <v>28</v>
      </c>
      <c r="J41" s="11">
        <f t="shared" si="8"/>
        <v>0</v>
      </c>
      <c r="K41" s="7" t="s">
        <v>55</v>
      </c>
      <c r="P41" s="7" t="s">
        <v>30</v>
      </c>
      <c r="Q41" s="7" t="s">
        <v>26</v>
      </c>
      <c r="R41" s="7" t="s">
        <v>52</v>
      </c>
    </row>
    <row r="42">
      <c r="A42" s="5">
        <v>46246.36002306713</v>
      </c>
      <c r="B42" s="6">
        <v>46247.0</v>
      </c>
      <c r="C42" s="7" t="s">
        <v>135</v>
      </c>
      <c r="D42" s="7" t="s">
        <v>136</v>
      </c>
      <c r="E42" s="7" t="s">
        <v>137</v>
      </c>
      <c r="F42" s="7" t="s">
        <v>25</v>
      </c>
      <c r="G42" s="13" t="s">
        <v>26</v>
      </c>
      <c r="H42" s="10" t="s">
        <v>27</v>
      </c>
      <c r="I42" s="10" t="s">
        <v>28</v>
      </c>
      <c r="J42" s="18">
        <f t="shared" si="8"/>
        <v>46246.50107</v>
      </c>
      <c r="K42" s="7" t="s">
        <v>29</v>
      </c>
      <c r="N42" s="7" t="s">
        <v>30</v>
      </c>
      <c r="P42" s="7" t="s">
        <v>30</v>
      </c>
      <c r="Q42" s="7" t="s">
        <v>26</v>
      </c>
      <c r="R42" s="7" t="s">
        <v>52</v>
      </c>
    </row>
    <row r="43">
      <c r="A43" s="5">
        <v>46246.400249872684</v>
      </c>
      <c r="B43" s="6">
        <v>46253.0</v>
      </c>
      <c r="C43" s="7" t="s">
        <v>138</v>
      </c>
      <c r="D43" s="8" t="s">
        <v>139</v>
      </c>
      <c r="E43" s="7" t="s">
        <v>137</v>
      </c>
      <c r="F43" s="7" t="s">
        <v>25</v>
      </c>
      <c r="G43" s="13" t="s">
        <v>26</v>
      </c>
      <c r="H43" s="10" t="s">
        <v>27</v>
      </c>
      <c r="I43" s="10" t="s">
        <v>28</v>
      </c>
      <c r="J43" s="18">
        <f t="shared" si="8"/>
        <v>46260.62681</v>
      </c>
      <c r="K43" s="7" t="s">
        <v>29</v>
      </c>
      <c r="N43" s="7" t="s">
        <v>30</v>
      </c>
      <c r="P43" s="7" t="s">
        <v>30</v>
      </c>
      <c r="Q43" s="7" t="s">
        <v>26</v>
      </c>
      <c r="R43" s="7" t="s">
        <v>49</v>
      </c>
    </row>
    <row r="44">
      <c r="A44" s="5">
        <v>46248.339962962964</v>
      </c>
      <c r="B44" s="6">
        <v>46248.0</v>
      </c>
      <c r="C44" s="7" t="s">
        <v>72</v>
      </c>
      <c r="D44" s="7" t="s">
        <v>72</v>
      </c>
      <c r="E44" s="7" t="s">
        <v>140</v>
      </c>
      <c r="F44" s="7" t="s">
        <v>25</v>
      </c>
      <c r="G44" s="13" t="s">
        <v>26</v>
      </c>
      <c r="H44" s="10" t="s">
        <v>27</v>
      </c>
      <c r="I44" s="10" t="s">
        <v>28</v>
      </c>
      <c r="J44" s="18">
        <f t="shared" si="8"/>
        <v>46248.50426</v>
      </c>
      <c r="K44" s="7" t="s">
        <v>46</v>
      </c>
      <c r="P44" s="7" t="s">
        <v>30</v>
      </c>
      <c r="Q44" s="7" t="s">
        <v>26</v>
      </c>
      <c r="R44" s="7" t="s">
        <v>52</v>
      </c>
    </row>
    <row r="45">
      <c r="A45" s="5">
        <v>46251.53758928241</v>
      </c>
      <c r="B45" s="6">
        <v>46254.0</v>
      </c>
      <c r="C45" s="7" t="s">
        <v>141</v>
      </c>
      <c r="D45" s="8" t="s">
        <v>142</v>
      </c>
      <c r="E45" s="7" t="s">
        <v>79</v>
      </c>
      <c r="F45" s="7" t="s">
        <v>25</v>
      </c>
      <c r="G45" s="13" t="s">
        <v>40</v>
      </c>
      <c r="H45" s="10" t="s">
        <v>27</v>
      </c>
      <c r="I45" s="10" t="s">
        <v>28</v>
      </c>
      <c r="J45" s="18">
        <f t="shared" si="8"/>
        <v>46261.59099</v>
      </c>
      <c r="K45" s="7" t="s">
        <v>29</v>
      </c>
      <c r="N45" s="7" t="s">
        <v>30</v>
      </c>
      <c r="P45" s="7" t="s">
        <v>30</v>
      </c>
      <c r="Q45" s="7" t="s">
        <v>42</v>
      </c>
      <c r="R45" s="7" t="s">
        <v>90</v>
      </c>
    </row>
    <row r="46">
      <c r="A46" s="5">
        <v>46258.45086376157</v>
      </c>
      <c r="B46" s="6">
        <v>46261.0</v>
      </c>
      <c r="C46" s="7" t="s">
        <v>143</v>
      </c>
      <c r="D46" s="8" t="s">
        <v>144</v>
      </c>
      <c r="E46" s="7" t="s">
        <v>79</v>
      </c>
      <c r="F46" s="7" t="s">
        <v>25</v>
      </c>
      <c r="G46" s="13" t="s">
        <v>26</v>
      </c>
      <c r="H46" s="10" t="s">
        <v>27</v>
      </c>
      <c r="I46" s="10" t="s">
        <v>28</v>
      </c>
      <c r="J46" s="12">
        <v>46265.0</v>
      </c>
      <c r="K46" s="7" t="s">
        <v>29</v>
      </c>
      <c r="N46" s="7" t="s">
        <v>30</v>
      </c>
      <c r="P46" s="7" t="s">
        <v>30</v>
      </c>
      <c r="Q46" s="7" t="s">
        <v>26</v>
      </c>
      <c r="R46" s="7" t="s">
        <v>52</v>
      </c>
    </row>
    <row r="47">
      <c r="A47" s="5">
        <v>46258.509623958336</v>
      </c>
      <c r="B47" s="6">
        <v>46262.0</v>
      </c>
      <c r="C47" s="7" t="s">
        <v>145</v>
      </c>
      <c r="D47" s="8" t="s">
        <v>146</v>
      </c>
      <c r="E47" s="7" t="s">
        <v>79</v>
      </c>
      <c r="F47" s="7" t="s">
        <v>25</v>
      </c>
      <c r="G47" s="13" t="s">
        <v>26</v>
      </c>
      <c r="H47" s="10" t="s">
        <v>27</v>
      </c>
      <c r="I47" s="10" t="s">
        <v>28</v>
      </c>
      <c r="J47" s="11">
        <f>IF(I47="Terminado", IF(J47="", NOW(), J47), "")</f>
        <v>46272.4867</v>
      </c>
      <c r="K47" s="7" t="s">
        <v>29</v>
      </c>
      <c r="N47" s="7" t="s">
        <v>30</v>
      </c>
      <c r="P47" s="7" t="s">
        <v>30</v>
      </c>
      <c r="Q47" s="7" t="s">
        <v>26</v>
      </c>
      <c r="R47" s="7" t="s">
        <v>52</v>
      </c>
    </row>
    <row r="48">
      <c r="A48" s="5">
        <v>46258.60026224537</v>
      </c>
      <c r="B48" s="6">
        <v>46261.0</v>
      </c>
      <c r="C48" s="7" t="s">
        <v>147</v>
      </c>
      <c r="D48" s="7" t="s">
        <v>148</v>
      </c>
      <c r="F48" s="7" t="s">
        <v>25</v>
      </c>
      <c r="G48" s="13" t="s">
        <v>127</v>
      </c>
      <c r="H48" s="10" t="s">
        <v>27</v>
      </c>
      <c r="I48" s="10" t="s">
        <v>28</v>
      </c>
      <c r="J48" s="12">
        <v>46261.0</v>
      </c>
      <c r="K48" s="7" t="s">
        <v>29</v>
      </c>
      <c r="M48" s="7" t="s">
        <v>149</v>
      </c>
      <c r="N48" s="7" t="s">
        <v>129</v>
      </c>
      <c r="P48" s="7" t="s">
        <v>130</v>
      </c>
      <c r="Q48" s="7" t="s">
        <v>127</v>
      </c>
      <c r="R48" s="7" t="s">
        <v>49</v>
      </c>
      <c r="S48" s="7" t="s">
        <v>150</v>
      </c>
      <c r="T48" s="7" t="s">
        <v>151</v>
      </c>
      <c r="U48" s="7" t="s">
        <v>152</v>
      </c>
      <c r="V48" s="7" t="s">
        <v>153</v>
      </c>
    </row>
    <row r="49">
      <c r="A49" s="5">
        <v>46258.653845347224</v>
      </c>
      <c r="B49" s="6">
        <v>46260.0</v>
      </c>
      <c r="C49" s="15" t="s">
        <v>154</v>
      </c>
      <c r="D49" s="8" t="s">
        <v>155</v>
      </c>
      <c r="E49" s="7" t="s">
        <v>24</v>
      </c>
      <c r="F49" s="7" t="s">
        <v>25</v>
      </c>
      <c r="G49" s="13" t="s">
        <v>40</v>
      </c>
      <c r="H49" s="10" t="s">
        <v>71</v>
      </c>
      <c r="I49" s="10" t="s">
        <v>28</v>
      </c>
      <c r="J49" s="16">
        <v>46259.0</v>
      </c>
      <c r="K49" s="7" t="s">
        <v>29</v>
      </c>
      <c r="N49" s="7" t="s">
        <v>30</v>
      </c>
      <c r="P49" s="7" t="s">
        <v>30</v>
      </c>
      <c r="Q49" s="7" t="s">
        <v>42</v>
      </c>
      <c r="R49" s="7" t="s">
        <v>49</v>
      </c>
    </row>
    <row r="50">
      <c r="A50" s="5">
        <v>46259.4209400463</v>
      </c>
      <c r="B50" s="6">
        <v>46259.0</v>
      </c>
      <c r="C50" s="7" t="s">
        <v>72</v>
      </c>
      <c r="D50" s="7" t="s">
        <v>72</v>
      </c>
      <c r="E50" s="7" t="s">
        <v>156</v>
      </c>
      <c r="F50" s="7" t="s">
        <v>25</v>
      </c>
      <c r="G50" s="17" t="s">
        <v>134</v>
      </c>
      <c r="H50" s="10" t="s">
        <v>27</v>
      </c>
      <c r="I50" s="10" t="s">
        <v>28</v>
      </c>
      <c r="J50" s="16">
        <v>46259.0</v>
      </c>
      <c r="K50" s="7" t="s">
        <v>46</v>
      </c>
      <c r="P50" s="7" t="s">
        <v>30</v>
      </c>
      <c r="Q50" s="7" t="s">
        <v>26</v>
      </c>
      <c r="R50" s="7" t="s">
        <v>52</v>
      </c>
    </row>
    <row r="51">
      <c r="A51" s="5">
        <v>46260.62284269676</v>
      </c>
      <c r="B51" s="6">
        <v>46262.0</v>
      </c>
      <c r="C51" s="7" t="s">
        <v>157</v>
      </c>
      <c r="D51" s="8" t="s">
        <v>158</v>
      </c>
      <c r="E51" s="7" t="s">
        <v>39</v>
      </c>
      <c r="F51" s="7" t="s">
        <v>25</v>
      </c>
      <c r="G51" s="13" t="s">
        <v>40</v>
      </c>
      <c r="H51" s="10" t="s">
        <v>27</v>
      </c>
      <c r="I51" s="10" t="s">
        <v>28</v>
      </c>
      <c r="J51" s="12">
        <v>46273.0</v>
      </c>
      <c r="K51" s="7" t="s">
        <v>29</v>
      </c>
      <c r="N51" s="7" t="s">
        <v>30</v>
      </c>
      <c r="P51" s="7" t="s">
        <v>30</v>
      </c>
      <c r="Q51" s="7" t="s">
        <v>42</v>
      </c>
      <c r="R51" s="7" t="s">
        <v>90</v>
      </c>
    </row>
    <row r="52">
      <c r="A52" s="5">
        <v>46261.41987832176</v>
      </c>
      <c r="B52" s="6">
        <v>46266.0</v>
      </c>
      <c r="C52" s="7" t="s">
        <v>159</v>
      </c>
      <c r="D52" s="8" t="s">
        <v>160</v>
      </c>
      <c r="E52" s="7" t="s">
        <v>39</v>
      </c>
      <c r="F52" s="7" t="s">
        <v>25</v>
      </c>
      <c r="G52" s="13" t="s">
        <v>26</v>
      </c>
      <c r="H52" s="10" t="s">
        <v>27</v>
      </c>
      <c r="I52" s="10" t="s">
        <v>28</v>
      </c>
      <c r="J52" s="12">
        <v>46274.0</v>
      </c>
      <c r="K52" s="7" t="s">
        <v>29</v>
      </c>
      <c r="N52" s="7" t="s">
        <v>30</v>
      </c>
      <c r="P52" s="7" t="s">
        <v>30</v>
      </c>
      <c r="Q52" s="7" t="s">
        <v>26</v>
      </c>
      <c r="R52" s="7" t="s">
        <v>52</v>
      </c>
    </row>
    <row r="53" ht="15.0" customHeight="1">
      <c r="A53" s="14">
        <v>46260.0</v>
      </c>
      <c r="B53" s="6">
        <v>46261.0</v>
      </c>
      <c r="C53" s="7" t="s">
        <v>161</v>
      </c>
      <c r="D53" s="7" t="s">
        <v>162</v>
      </c>
      <c r="E53" s="7" t="s">
        <v>24</v>
      </c>
      <c r="F53" s="7" t="s">
        <v>25</v>
      </c>
      <c r="G53" s="13" t="s">
        <v>40</v>
      </c>
      <c r="H53" s="10" t="s">
        <v>27</v>
      </c>
      <c r="I53" s="10" t="s">
        <v>28</v>
      </c>
      <c r="J53" s="11">
        <f t="shared" ref="J53:J56" si="9">IF(I53="Terminado", IF(J53="", NOW(), J53), "")</f>
        <v>46261.59008</v>
      </c>
      <c r="K53" s="7" t="s">
        <v>163</v>
      </c>
      <c r="P53" s="7" t="s">
        <v>30</v>
      </c>
      <c r="Q53" s="7" t="s">
        <v>42</v>
      </c>
      <c r="R53" s="7" t="s">
        <v>90</v>
      </c>
    </row>
    <row r="54">
      <c r="A54" s="5">
        <v>46261.49722173611</v>
      </c>
      <c r="B54" s="6">
        <v>46267.0</v>
      </c>
      <c r="C54" s="7" t="s">
        <v>164</v>
      </c>
      <c r="D54" s="8" t="s">
        <v>165</v>
      </c>
      <c r="E54" s="7" t="s">
        <v>39</v>
      </c>
      <c r="F54" s="7" t="s">
        <v>25</v>
      </c>
      <c r="G54" s="13" t="s">
        <v>26</v>
      </c>
      <c r="H54" s="10" t="s">
        <v>27</v>
      </c>
      <c r="I54" s="10" t="s">
        <v>28</v>
      </c>
      <c r="J54" s="18">
        <f t="shared" si="9"/>
        <v>46275.68811</v>
      </c>
      <c r="K54" s="7" t="s">
        <v>29</v>
      </c>
      <c r="N54" s="7" t="s">
        <v>30</v>
      </c>
      <c r="P54" s="7" t="s">
        <v>30</v>
      </c>
      <c r="Q54" s="7" t="s">
        <v>26</v>
      </c>
      <c r="R54" s="7" t="s">
        <v>52</v>
      </c>
    </row>
    <row r="55">
      <c r="A55" s="5">
        <v>46261.53066788195</v>
      </c>
      <c r="B55" s="6">
        <v>46283.0</v>
      </c>
      <c r="C55" s="7" t="s">
        <v>166</v>
      </c>
      <c r="D55" s="7" t="s">
        <v>167</v>
      </c>
      <c r="E55" s="7" t="s">
        <v>87</v>
      </c>
      <c r="F55" s="7" t="s">
        <v>25</v>
      </c>
      <c r="G55" s="13" t="s">
        <v>112</v>
      </c>
      <c r="H55" s="10" t="s">
        <v>27</v>
      </c>
      <c r="I55" s="10" t="s">
        <v>28</v>
      </c>
      <c r="J55" s="18">
        <f t="shared" si="9"/>
        <v>46283.68745</v>
      </c>
      <c r="K55" s="7" t="s">
        <v>29</v>
      </c>
      <c r="L55" s="8" t="s">
        <v>168</v>
      </c>
      <c r="N55" s="7" t="s">
        <v>65</v>
      </c>
      <c r="P55" s="7" t="s">
        <v>30</v>
      </c>
      <c r="Q55" s="7" t="s">
        <v>112</v>
      </c>
      <c r="R55" s="7" t="s">
        <v>49</v>
      </c>
    </row>
    <row r="56">
      <c r="A56" s="5">
        <v>46261.533838020834</v>
      </c>
      <c r="B56" s="6">
        <v>46275.0</v>
      </c>
      <c r="C56" s="7" t="s">
        <v>110</v>
      </c>
      <c r="D56" s="7" t="s">
        <v>169</v>
      </c>
      <c r="E56" s="7" t="s">
        <v>87</v>
      </c>
      <c r="F56" s="7" t="s">
        <v>25</v>
      </c>
      <c r="G56" s="13" t="s">
        <v>112</v>
      </c>
      <c r="H56" s="10" t="s">
        <v>27</v>
      </c>
      <c r="I56" s="10" t="s">
        <v>28</v>
      </c>
      <c r="J56" s="18">
        <f t="shared" si="9"/>
        <v>46275.68811</v>
      </c>
      <c r="K56" s="7" t="s">
        <v>29</v>
      </c>
      <c r="N56" s="7" t="s">
        <v>65</v>
      </c>
      <c r="P56" s="7" t="s">
        <v>30</v>
      </c>
      <c r="Q56" s="7" t="s">
        <v>112</v>
      </c>
      <c r="R56" s="7" t="s">
        <v>49</v>
      </c>
    </row>
    <row r="57">
      <c r="A57" s="5">
        <v>46262.363150879624</v>
      </c>
      <c r="B57" s="6">
        <v>46262.0</v>
      </c>
      <c r="C57" s="7" t="s">
        <v>72</v>
      </c>
      <c r="D57" s="7" t="s">
        <v>72</v>
      </c>
      <c r="E57" s="7" t="s">
        <v>170</v>
      </c>
      <c r="F57" s="7" t="s">
        <v>25</v>
      </c>
      <c r="G57" s="17" t="s">
        <v>134</v>
      </c>
      <c r="H57" s="10" t="s">
        <v>27</v>
      </c>
      <c r="I57" s="10" t="s">
        <v>28</v>
      </c>
      <c r="J57" s="12">
        <v>46262.0</v>
      </c>
      <c r="K57" s="7" t="s">
        <v>46</v>
      </c>
      <c r="P57" s="7" t="s">
        <v>30</v>
      </c>
      <c r="Q57" s="7" t="s">
        <v>26</v>
      </c>
      <c r="R57" s="7" t="s">
        <v>52</v>
      </c>
    </row>
    <row r="58">
      <c r="A58" s="5">
        <v>46265.702497499995</v>
      </c>
      <c r="B58" s="6">
        <v>46273.0</v>
      </c>
      <c r="C58" s="7" t="s">
        <v>171</v>
      </c>
      <c r="D58" s="8" t="s">
        <v>172</v>
      </c>
      <c r="E58" s="7" t="s">
        <v>39</v>
      </c>
      <c r="F58" s="7" t="s">
        <v>25</v>
      </c>
      <c r="G58" s="13" t="s">
        <v>26</v>
      </c>
      <c r="H58" s="10" t="s">
        <v>27</v>
      </c>
      <c r="I58" s="10" t="s">
        <v>28</v>
      </c>
      <c r="J58" s="11">
        <f>IF(I58="Terminado", IF(J58="", NOW(), J58), "")</f>
        <v>46279.51605</v>
      </c>
      <c r="K58" s="7" t="s">
        <v>29</v>
      </c>
      <c r="N58" s="7" t="s">
        <v>30</v>
      </c>
      <c r="P58" s="7" t="s">
        <v>30</v>
      </c>
      <c r="Q58" s="7" t="s">
        <v>26</v>
      </c>
      <c r="R58" s="7" t="s">
        <v>52</v>
      </c>
    </row>
    <row r="59">
      <c r="A59" s="5">
        <v>46266.690228865744</v>
      </c>
      <c r="B59" s="6">
        <v>46266.0</v>
      </c>
      <c r="C59" s="7" t="s">
        <v>72</v>
      </c>
      <c r="D59" s="7" t="s">
        <v>72</v>
      </c>
      <c r="E59" s="7" t="s">
        <v>133</v>
      </c>
      <c r="F59" s="7" t="s">
        <v>25</v>
      </c>
      <c r="G59" s="17" t="s">
        <v>134</v>
      </c>
      <c r="H59" s="10" t="s">
        <v>27</v>
      </c>
      <c r="I59" s="10" t="s">
        <v>28</v>
      </c>
      <c r="J59" s="12">
        <v>46266.0</v>
      </c>
      <c r="K59" s="7" t="s">
        <v>29</v>
      </c>
      <c r="N59" s="7" t="s">
        <v>30</v>
      </c>
      <c r="P59" s="7" t="s">
        <v>30</v>
      </c>
      <c r="Q59" s="7" t="s">
        <v>26</v>
      </c>
      <c r="R59" s="7" t="s">
        <v>52</v>
      </c>
    </row>
    <row r="60">
      <c r="A60" s="5">
        <v>46266.69177819444</v>
      </c>
      <c r="B60" s="6">
        <v>46266.0</v>
      </c>
      <c r="C60" s="7" t="s">
        <v>53</v>
      </c>
      <c r="D60" s="7" t="s">
        <v>53</v>
      </c>
      <c r="E60" s="7" t="s">
        <v>79</v>
      </c>
      <c r="F60" s="7" t="s">
        <v>25</v>
      </c>
      <c r="G60" s="17" t="s">
        <v>134</v>
      </c>
      <c r="H60" s="10" t="s">
        <v>27</v>
      </c>
      <c r="I60" s="10" t="s">
        <v>28</v>
      </c>
      <c r="J60" s="12">
        <v>46266.0</v>
      </c>
      <c r="K60" s="7" t="s">
        <v>29</v>
      </c>
      <c r="N60" s="7" t="s">
        <v>30</v>
      </c>
      <c r="P60" s="7" t="s">
        <v>30</v>
      </c>
      <c r="Q60" s="7" t="s">
        <v>26</v>
      </c>
      <c r="R60" s="7" t="s">
        <v>52</v>
      </c>
    </row>
    <row r="61" ht="15.75" customHeight="1">
      <c r="A61" s="5">
        <v>46268.35276569445</v>
      </c>
      <c r="B61" s="6">
        <v>46268.0</v>
      </c>
      <c r="C61" s="7" t="s">
        <v>173</v>
      </c>
      <c r="D61" s="7" t="s">
        <v>174</v>
      </c>
      <c r="E61" s="7" t="s">
        <v>24</v>
      </c>
      <c r="F61" s="7" t="s">
        <v>25</v>
      </c>
      <c r="G61" s="13" t="s">
        <v>40</v>
      </c>
      <c r="H61" s="10" t="s">
        <v>27</v>
      </c>
      <c r="I61" s="10" t="s">
        <v>28</v>
      </c>
      <c r="J61" s="12">
        <v>46269.0</v>
      </c>
      <c r="K61" s="7" t="s">
        <v>163</v>
      </c>
      <c r="P61" s="7" t="s">
        <v>30</v>
      </c>
      <c r="Q61" s="7" t="s">
        <v>42</v>
      </c>
      <c r="R61" s="7" t="s">
        <v>49</v>
      </c>
    </row>
    <row r="62" ht="18.0" customHeight="1">
      <c r="A62" s="5">
        <v>46273.33872180556</v>
      </c>
      <c r="B62" s="6">
        <v>46273.0</v>
      </c>
      <c r="C62" s="7" t="s">
        <v>72</v>
      </c>
      <c r="D62" s="7" t="s">
        <v>72</v>
      </c>
      <c r="E62" s="7" t="s">
        <v>133</v>
      </c>
      <c r="F62" s="7" t="s">
        <v>25</v>
      </c>
      <c r="G62" s="13" t="s">
        <v>26</v>
      </c>
      <c r="H62" s="10" t="s">
        <v>27</v>
      </c>
      <c r="I62" s="10" t="s">
        <v>28</v>
      </c>
      <c r="J62" s="12">
        <v>46273.0</v>
      </c>
      <c r="K62" s="7" t="s">
        <v>46</v>
      </c>
      <c r="P62" s="7" t="s">
        <v>30</v>
      </c>
      <c r="Q62" s="7" t="s">
        <v>26</v>
      </c>
      <c r="R62" s="7" t="s">
        <v>52</v>
      </c>
    </row>
    <row r="63" ht="18.0" customHeight="1">
      <c r="A63" s="5">
        <v>46274.372689490745</v>
      </c>
      <c r="B63" s="6">
        <v>46273.0</v>
      </c>
      <c r="C63" s="7" t="s">
        <v>175</v>
      </c>
      <c r="D63" s="7" t="s">
        <v>175</v>
      </c>
      <c r="E63" s="7" t="s">
        <v>94</v>
      </c>
      <c r="F63" s="7" t="s">
        <v>25</v>
      </c>
      <c r="G63" s="13" t="s">
        <v>26</v>
      </c>
      <c r="H63" s="10" t="s">
        <v>27</v>
      </c>
      <c r="I63" s="10" t="s">
        <v>28</v>
      </c>
      <c r="J63" s="12">
        <v>46273.0</v>
      </c>
      <c r="K63" s="7" t="s">
        <v>55</v>
      </c>
      <c r="P63" s="7" t="s">
        <v>30</v>
      </c>
      <c r="Q63" s="7" t="s">
        <v>26</v>
      </c>
      <c r="R63" s="7" t="s">
        <v>52</v>
      </c>
    </row>
    <row r="64">
      <c r="A64" s="5">
        <v>46274.683176631945</v>
      </c>
      <c r="B64" s="6">
        <v>46276.0</v>
      </c>
      <c r="C64" s="7" t="s">
        <v>176</v>
      </c>
      <c r="D64" s="8" t="s">
        <v>177</v>
      </c>
      <c r="E64" s="7" t="s">
        <v>178</v>
      </c>
      <c r="F64" s="7" t="s">
        <v>25</v>
      </c>
      <c r="G64" s="13" t="s">
        <v>26</v>
      </c>
      <c r="H64" s="10" t="s">
        <v>27</v>
      </c>
      <c r="I64" s="10" t="s">
        <v>28</v>
      </c>
      <c r="J64" s="12">
        <v>46276.0</v>
      </c>
      <c r="K64" s="7" t="s">
        <v>29</v>
      </c>
      <c r="N64" s="7" t="s">
        <v>30</v>
      </c>
      <c r="P64" s="7" t="s">
        <v>30</v>
      </c>
      <c r="Q64" s="7" t="s">
        <v>26</v>
      </c>
      <c r="R64" s="7" t="s">
        <v>52</v>
      </c>
    </row>
    <row r="65">
      <c r="A65" s="5">
        <v>46276.52585679398</v>
      </c>
      <c r="B65" s="6">
        <v>46282.0</v>
      </c>
      <c r="C65" s="7" t="s">
        <v>179</v>
      </c>
      <c r="D65" s="8" t="s">
        <v>180</v>
      </c>
      <c r="E65" s="7" t="s">
        <v>137</v>
      </c>
      <c r="F65" s="7" t="s">
        <v>25</v>
      </c>
      <c r="G65" s="13" t="s">
        <v>26</v>
      </c>
      <c r="H65" s="10" t="s">
        <v>27</v>
      </c>
      <c r="I65" s="10" t="s">
        <v>28</v>
      </c>
      <c r="J65" s="18">
        <f t="shared" ref="J65:J66" si="10">IF(I65="Terminado", IF(J65="", NOW(), J65), "")</f>
        <v>46280.51775</v>
      </c>
      <c r="K65" s="7" t="s">
        <v>29</v>
      </c>
      <c r="N65" s="7" t="s">
        <v>30</v>
      </c>
      <c r="P65" s="7" t="s">
        <v>30</v>
      </c>
      <c r="Q65" s="7" t="s">
        <v>26</v>
      </c>
      <c r="R65" s="7" t="s">
        <v>52</v>
      </c>
    </row>
    <row r="66">
      <c r="A66" s="5">
        <v>46276.50952277778</v>
      </c>
      <c r="B66" s="6">
        <v>46282.0</v>
      </c>
      <c r="C66" s="7" t="s">
        <v>179</v>
      </c>
      <c r="D66" s="8" t="s">
        <v>183</v>
      </c>
      <c r="E66" s="7" t="s">
        <v>137</v>
      </c>
      <c r="F66" s="7" t="s">
        <v>25</v>
      </c>
      <c r="G66" s="13" t="s">
        <v>26</v>
      </c>
      <c r="H66" s="10" t="s">
        <v>27</v>
      </c>
      <c r="I66" s="10" t="s">
        <v>41</v>
      </c>
      <c r="J66" s="11" t="str">
        <f t="shared" si="10"/>
        <v/>
      </c>
      <c r="K66" s="7" t="s">
        <v>29</v>
      </c>
      <c r="N66" s="7" t="s">
        <v>30</v>
      </c>
      <c r="P66" s="7" t="s">
        <v>30</v>
      </c>
      <c r="Q66" s="7" t="s">
        <v>26</v>
      </c>
      <c r="R66" s="7" t="s">
        <v>52</v>
      </c>
    </row>
    <row r="67">
      <c r="A67" s="5">
        <v>46276.527752870374</v>
      </c>
      <c r="B67" s="6">
        <v>46276.0</v>
      </c>
      <c r="C67" s="7" t="s">
        <v>72</v>
      </c>
      <c r="D67" s="7" t="s">
        <v>72</v>
      </c>
      <c r="E67" s="7" t="s">
        <v>93</v>
      </c>
      <c r="F67" s="7" t="s">
        <v>25</v>
      </c>
      <c r="G67" s="13" t="s">
        <v>26</v>
      </c>
      <c r="H67" s="10" t="s">
        <v>27</v>
      </c>
      <c r="I67" s="10" t="s">
        <v>28</v>
      </c>
      <c r="J67" s="12">
        <v>46276.0</v>
      </c>
      <c r="K67" s="7" t="s">
        <v>46</v>
      </c>
      <c r="P67" s="7" t="s">
        <v>30</v>
      </c>
      <c r="Q67" s="7" t="s">
        <v>26</v>
      </c>
      <c r="R67" s="7" t="s">
        <v>52</v>
      </c>
    </row>
    <row r="68">
      <c r="A68" s="5">
        <v>46276.544585578704</v>
      </c>
      <c r="B68" s="6">
        <v>46281.0</v>
      </c>
      <c r="C68" s="7" t="s">
        <v>196</v>
      </c>
      <c r="D68" s="8" t="s">
        <v>197</v>
      </c>
      <c r="E68" s="7" t="s">
        <v>137</v>
      </c>
      <c r="F68" s="7" t="s">
        <v>25</v>
      </c>
      <c r="G68" s="13" t="s">
        <v>40</v>
      </c>
      <c r="H68" s="10" t="s">
        <v>27</v>
      </c>
      <c r="I68" s="10" t="s">
        <v>28</v>
      </c>
      <c r="J68" s="12">
        <v>46281.0</v>
      </c>
      <c r="K68" s="7" t="s">
        <v>29</v>
      </c>
      <c r="N68" s="7" t="s">
        <v>30</v>
      </c>
      <c r="P68" s="7" t="s">
        <v>30</v>
      </c>
      <c r="Q68" s="7" t="s">
        <v>42</v>
      </c>
      <c r="R68" s="7" t="s">
        <v>198</v>
      </c>
    </row>
    <row r="69">
      <c r="A69" s="5">
        <v>46276.57878449074</v>
      </c>
      <c r="B69" s="6">
        <v>46281.0</v>
      </c>
      <c r="C69" s="7" t="s">
        <v>199</v>
      </c>
      <c r="D69" s="7" t="s">
        <v>200</v>
      </c>
      <c r="F69" s="7" t="s">
        <v>25</v>
      </c>
      <c r="G69" s="13" t="s">
        <v>127</v>
      </c>
      <c r="H69" s="10" t="s">
        <v>27</v>
      </c>
      <c r="I69" s="10" t="s">
        <v>28</v>
      </c>
      <c r="J69" s="12">
        <v>46279.0</v>
      </c>
      <c r="K69" s="7" t="s">
        <v>29</v>
      </c>
      <c r="L69" s="8" t="s">
        <v>201</v>
      </c>
      <c r="M69" s="7" t="s">
        <v>151</v>
      </c>
      <c r="N69" s="7" t="s">
        <v>129</v>
      </c>
      <c r="P69" s="7" t="s">
        <v>130</v>
      </c>
      <c r="Q69" s="7" t="s">
        <v>127</v>
      </c>
      <c r="R69" s="7" t="s">
        <v>202</v>
      </c>
      <c r="U69" s="7" t="s">
        <v>131</v>
      </c>
      <c r="V69" s="7" t="s">
        <v>203</v>
      </c>
    </row>
    <row r="70">
      <c r="A70" s="5">
        <v>46276.639736944446</v>
      </c>
      <c r="B70" s="6">
        <v>46282.0</v>
      </c>
      <c r="C70" s="7" t="s">
        <v>204</v>
      </c>
      <c r="D70" s="8" t="s">
        <v>205</v>
      </c>
      <c r="E70" s="7" t="s">
        <v>39</v>
      </c>
      <c r="F70" s="7" t="s">
        <v>25</v>
      </c>
      <c r="G70" s="13" t="s">
        <v>26</v>
      </c>
      <c r="H70" s="10" t="s">
        <v>27</v>
      </c>
      <c r="I70" s="10" t="s">
        <v>28</v>
      </c>
      <c r="J70" s="12">
        <v>46288.0</v>
      </c>
      <c r="K70" s="7" t="s">
        <v>29</v>
      </c>
      <c r="N70" s="7" t="s">
        <v>30</v>
      </c>
      <c r="P70" s="7" t="s">
        <v>30</v>
      </c>
      <c r="Q70" s="7" t="s">
        <v>26</v>
      </c>
      <c r="R70" s="7" t="s">
        <v>52</v>
      </c>
    </row>
    <row r="71">
      <c r="A71" s="5">
        <v>46276.70119207176</v>
      </c>
      <c r="B71" s="6">
        <v>46283.0</v>
      </c>
      <c r="C71" s="7" t="s">
        <v>206</v>
      </c>
      <c r="D71" s="8" t="s">
        <v>207</v>
      </c>
      <c r="E71" s="7" t="s">
        <v>79</v>
      </c>
      <c r="F71" s="7" t="s">
        <v>25</v>
      </c>
      <c r="G71" s="13" t="s">
        <v>26</v>
      </c>
      <c r="H71" s="10" t="s">
        <v>27</v>
      </c>
      <c r="I71" s="10" t="s">
        <v>28</v>
      </c>
      <c r="J71" s="18">
        <f t="shared" ref="J71:J77" si="11">IF(I71="Terminado", IF(J71="", NOW(), J71), "")</f>
        <v>46303.70544</v>
      </c>
      <c r="K71" s="7" t="s">
        <v>29</v>
      </c>
      <c r="N71" s="7" t="s">
        <v>30</v>
      </c>
      <c r="P71" s="7" t="s">
        <v>30</v>
      </c>
      <c r="Q71" s="7" t="s">
        <v>26</v>
      </c>
      <c r="R71" s="7" t="s">
        <v>52</v>
      </c>
    </row>
    <row r="72" ht="15.75" customHeight="1">
      <c r="A72" s="5">
        <v>46279.44312967593</v>
      </c>
      <c r="B72" s="6">
        <v>46288.0</v>
      </c>
      <c r="C72" s="7" t="s">
        <v>208</v>
      </c>
      <c r="D72" s="8" t="s">
        <v>209</v>
      </c>
      <c r="E72" s="7" t="s">
        <v>39</v>
      </c>
      <c r="F72" s="7" t="s">
        <v>25</v>
      </c>
      <c r="G72" s="13" t="s">
        <v>26</v>
      </c>
      <c r="H72" s="10" t="s">
        <v>27</v>
      </c>
      <c r="I72" s="10" t="s">
        <v>28</v>
      </c>
      <c r="J72" s="18">
        <f t="shared" si="11"/>
        <v>46308.66991</v>
      </c>
      <c r="K72" s="7" t="s">
        <v>29</v>
      </c>
      <c r="N72" s="7" t="s">
        <v>30</v>
      </c>
      <c r="P72" s="7" t="s">
        <v>30</v>
      </c>
      <c r="Q72" s="7" t="s">
        <v>26</v>
      </c>
      <c r="R72" s="7" t="s">
        <v>52</v>
      </c>
    </row>
    <row r="73" ht="18.0" customHeight="1">
      <c r="A73" s="5">
        <v>46279.49805200232</v>
      </c>
      <c r="B73" s="6">
        <v>46283.0</v>
      </c>
      <c r="C73" s="21" t="s">
        <v>210</v>
      </c>
      <c r="D73" s="8" t="s">
        <v>211</v>
      </c>
      <c r="E73" s="7" t="s">
        <v>178</v>
      </c>
      <c r="F73" s="7" t="s">
        <v>25</v>
      </c>
      <c r="G73" s="13" t="s">
        <v>26</v>
      </c>
      <c r="H73" s="10" t="s">
        <v>27</v>
      </c>
      <c r="I73" s="10" t="s">
        <v>41</v>
      </c>
      <c r="J73" s="11" t="str">
        <f t="shared" si="11"/>
        <v/>
      </c>
      <c r="K73" s="7" t="s">
        <v>29</v>
      </c>
      <c r="N73" s="7" t="s">
        <v>30</v>
      </c>
      <c r="P73" s="7" t="s">
        <v>30</v>
      </c>
      <c r="Q73" s="7" t="s">
        <v>26</v>
      </c>
      <c r="R73" s="7" t="s">
        <v>52</v>
      </c>
    </row>
    <row r="74">
      <c r="A74" s="22">
        <v>46279.59779997685</v>
      </c>
      <c r="B74" s="23">
        <v>46280.0</v>
      </c>
      <c r="C74" s="7" t="s">
        <v>212</v>
      </c>
      <c r="D74" s="8" t="s">
        <v>213</v>
      </c>
      <c r="E74" s="7" t="s">
        <v>24</v>
      </c>
      <c r="F74" s="7" t="s">
        <v>25</v>
      </c>
      <c r="G74" s="13" t="s">
        <v>26</v>
      </c>
      <c r="H74" s="10" t="s">
        <v>27</v>
      </c>
      <c r="I74" s="10" t="s">
        <v>28</v>
      </c>
      <c r="J74" s="18">
        <f t="shared" si="11"/>
        <v>46281.38179</v>
      </c>
      <c r="K74" s="7" t="s">
        <v>46</v>
      </c>
      <c r="P74" s="7" t="s">
        <v>30</v>
      </c>
      <c r="Q74" s="7" t="s">
        <v>26</v>
      </c>
      <c r="R74" s="7" t="s">
        <v>52</v>
      </c>
    </row>
    <row r="75">
      <c r="A75" s="5">
        <v>46279.6394965625</v>
      </c>
      <c r="B75" s="6">
        <v>46279.0</v>
      </c>
      <c r="C75" s="7" t="s">
        <v>72</v>
      </c>
      <c r="D75" s="7" t="s">
        <v>72</v>
      </c>
      <c r="E75" s="7" t="s">
        <v>133</v>
      </c>
      <c r="F75" s="7" t="s">
        <v>25</v>
      </c>
      <c r="G75" s="13" t="s">
        <v>26</v>
      </c>
      <c r="H75" s="10" t="s">
        <v>27</v>
      </c>
      <c r="I75" s="10" t="s">
        <v>28</v>
      </c>
      <c r="J75" s="18">
        <f t="shared" si="11"/>
        <v>46280.5177</v>
      </c>
      <c r="K75" s="7" t="s">
        <v>46</v>
      </c>
      <c r="P75" s="7" t="s">
        <v>30</v>
      </c>
      <c r="Q75" s="7" t="s">
        <v>26</v>
      </c>
      <c r="R75" s="7" t="s">
        <v>52</v>
      </c>
    </row>
    <row r="76">
      <c r="A76" s="5">
        <v>46279.64035021991</v>
      </c>
      <c r="B76" s="6">
        <v>46279.0</v>
      </c>
      <c r="C76" s="7" t="s">
        <v>214</v>
      </c>
      <c r="D76" s="7" t="s">
        <v>214</v>
      </c>
      <c r="E76" s="7" t="s">
        <v>133</v>
      </c>
      <c r="F76" s="7" t="s">
        <v>25</v>
      </c>
      <c r="G76" s="13" t="s">
        <v>40</v>
      </c>
      <c r="H76" s="10" t="s">
        <v>27</v>
      </c>
      <c r="I76" s="10" t="s">
        <v>28</v>
      </c>
      <c r="J76" s="18">
        <f t="shared" si="11"/>
        <v>46279.64778</v>
      </c>
      <c r="K76" s="7" t="s">
        <v>55</v>
      </c>
      <c r="P76" s="7" t="s">
        <v>30</v>
      </c>
      <c r="Q76" s="7" t="s">
        <v>26</v>
      </c>
      <c r="R76" s="7" t="s">
        <v>52</v>
      </c>
    </row>
    <row r="77">
      <c r="A77" s="5">
        <v>46279.64738540509</v>
      </c>
      <c r="B77" s="6">
        <v>46282.0</v>
      </c>
      <c r="C77" s="7" t="s">
        <v>215</v>
      </c>
      <c r="D77" s="8" t="s">
        <v>216</v>
      </c>
      <c r="E77" s="7" t="s">
        <v>124</v>
      </c>
      <c r="F77" s="7" t="s">
        <v>25</v>
      </c>
      <c r="G77" s="13" t="s">
        <v>40</v>
      </c>
      <c r="H77" s="10" t="s">
        <v>27</v>
      </c>
      <c r="I77" s="10" t="s">
        <v>41</v>
      </c>
      <c r="J77" s="11" t="str">
        <f t="shared" si="11"/>
        <v/>
      </c>
      <c r="K77" s="7" t="s">
        <v>29</v>
      </c>
      <c r="N77" s="7" t="s">
        <v>30</v>
      </c>
      <c r="P77" s="7" t="s">
        <v>30</v>
      </c>
      <c r="Q77" s="7" t="s">
        <v>42</v>
      </c>
      <c r="R77" s="7" t="s">
        <v>217</v>
      </c>
    </row>
    <row r="78">
      <c r="A78" s="5">
        <v>46280.516300891206</v>
      </c>
      <c r="B78" s="6">
        <v>46280.0</v>
      </c>
      <c r="C78" s="7" t="s">
        <v>60</v>
      </c>
      <c r="D78" s="7" t="s">
        <v>60</v>
      </c>
      <c r="E78" s="7" t="s">
        <v>94</v>
      </c>
      <c r="F78" s="7" t="s">
        <v>25</v>
      </c>
      <c r="G78" s="13" t="s">
        <v>26</v>
      </c>
      <c r="H78" s="10" t="s">
        <v>27</v>
      </c>
      <c r="I78" s="10" t="s">
        <v>28</v>
      </c>
      <c r="J78" s="12">
        <v>46280.0</v>
      </c>
      <c r="K78" s="7" t="s">
        <v>55</v>
      </c>
      <c r="P78" s="7" t="s">
        <v>30</v>
      </c>
      <c r="Q78" s="7" t="s">
        <v>26</v>
      </c>
      <c r="R78" s="7" t="s">
        <v>52</v>
      </c>
    </row>
    <row r="79">
      <c r="A79" s="5">
        <v>46280.51678909722</v>
      </c>
      <c r="B79" s="6">
        <v>46280.0</v>
      </c>
      <c r="C79" s="7" t="s">
        <v>53</v>
      </c>
      <c r="D79" s="7" t="s">
        <v>53</v>
      </c>
      <c r="E79" s="7" t="s">
        <v>94</v>
      </c>
      <c r="F79" s="7" t="s">
        <v>25</v>
      </c>
      <c r="G79" s="13" t="s">
        <v>26</v>
      </c>
      <c r="H79" s="10" t="s">
        <v>27</v>
      </c>
      <c r="I79" s="10" t="s">
        <v>28</v>
      </c>
      <c r="J79" s="12">
        <v>46280.0</v>
      </c>
      <c r="K79" s="7" t="s">
        <v>55</v>
      </c>
      <c r="P79" s="7" t="s">
        <v>30</v>
      </c>
      <c r="Q79" s="7" t="s">
        <v>26</v>
      </c>
      <c r="R79" s="7" t="s">
        <v>52</v>
      </c>
    </row>
    <row r="80">
      <c r="A80" s="5">
        <v>46280.518341296294</v>
      </c>
      <c r="B80" s="6">
        <v>46283.0</v>
      </c>
      <c r="C80" s="21" t="s">
        <v>210</v>
      </c>
      <c r="D80" s="8" t="s">
        <v>218</v>
      </c>
      <c r="E80" s="7" t="s">
        <v>39</v>
      </c>
      <c r="F80" s="7" t="s">
        <v>25</v>
      </c>
      <c r="G80" s="13" t="s">
        <v>26</v>
      </c>
      <c r="H80" s="10" t="s">
        <v>27</v>
      </c>
      <c r="I80" s="10" t="s">
        <v>41</v>
      </c>
      <c r="J80" s="11" t="str">
        <f>IF(I80="Terminado", IF(J80="", NOW(), J80), "")</f>
        <v/>
      </c>
      <c r="K80" s="7" t="s">
        <v>29</v>
      </c>
      <c r="N80" s="7" t="s">
        <v>30</v>
      </c>
      <c r="P80" s="7" t="s">
        <v>30</v>
      </c>
      <c r="Q80" s="7" t="s">
        <v>26</v>
      </c>
      <c r="R80" s="7" t="s">
        <v>52</v>
      </c>
    </row>
    <row r="81">
      <c r="A81" s="5">
        <v>46280.550131076394</v>
      </c>
      <c r="B81" s="6">
        <v>46283.0</v>
      </c>
      <c r="C81" s="7" t="s">
        <v>219</v>
      </c>
      <c r="D81" s="7" t="s">
        <v>220</v>
      </c>
      <c r="F81" s="7" t="s">
        <v>25</v>
      </c>
      <c r="G81" s="13" t="s">
        <v>112</v>
      </c>
      <c r="H81" s="10" t="s">
        <v>27</v>
      </c>
      <c r="I81" s="10" t="s">
        <v>28</v>
      </c>
      <c r="J81" s="12">
        <v>46281.0</v>
      </c>
      <c r="K81" s="7" t="s">
        <v>29</v>
      </c>
      <c r="M81" s="7" t="s">
        <v>221</v>
      </c>
      <c r="N81" s="7" t="s">
        <v>65</v>
      </c>
      <c r="P81" s="7" t="s">
        <v>130</v>
      </c>
      <c r="Q81" s="7" t="s">
        <v>112</v>
      </c>
      <c r="R81" s="7" t="s">
        <v>52</v>
      </c>
      <c r="U81" s="7" t="s">
        <v>131</v>
      </c>
      <c r="V81" s="7" t="s">
        <v>222</v>
      </c>
    </row>
    <row r="82">
      <c r="A82" s="5">
        <v>46280.553227743054</v>
      </c>
      <c r="B82" s="6">
        <v>46296.0</v>
      </c>
      <c r="C82" s="7" t="s">
        <v>223</v>
      </c>
      <c r="D82" s="7" t="s">
        <v>224</v>
      </c>
      <c r="E82" s="7" t="s">
        <v>87</v>
      </c>
      <c r="F82" s="7" t="s">
        <v>25</v>
      </c>
      <c r="G82" s="13" t="s">
        <v>112</v>
      </c>
      <c r="H82" s="10" t="s">
        <v>27</v>
      </c>
      <c r="I82" s="10" t="s">
        <v>28</v>
      </c>
      <c r="J82" s="12">
        <v>46296.0</v>
      </c>
      <c r="K82" s="7" t="s">
        <v>29</v>
      </c>
      <c r="N82" s="7" t="s">
        <v>65</v>
      </c>
      <c r="P82" s="7" t="s">
        <v>30</v>
      </c>
      <c r="Q82" s="7" t="s">
        <v>112</v>
      </c>
      <c r="R82" s="7" t="s">
        <v>49</v>
      </c>
    </row>
    <row r="83">
      <c r="A83" s="5">
        <v>46280.5557705324</v>
      </c>
      <c r="B83" s="6">
        <v>46296.0</v>
      </c>
      <c r="C83" s="7" t="s">
        <v>225</v>
      </c>
      <c r="D83" s="7" t="s">
        <v>226</v>
      </c>
      <c r="E83" s="7" t="s">
        <v>87</v>
      </c>
      <c r="F83" s="7" t="s">
        <v>25</v>
      </c>
      <c r="G83" s="13" t="s">
        <v>112</v>
      </c>
      <c r="H83" s="10" t="s">
        <v>27</v>
      </c>
      <c r="I83" s="10" t="s">
        <v>28</v>
      </c>
      <c r="J83" s="18">
        <f t="shared" ref="J83:J85" si="12">IF(I83="Terminado", IF(J83="", NOW(), J83), "")</f>
        <v>46303.42043</v>
      </c>
      <c r="K83" s="7" t="s">
        <v>29</v>
      </c>
      <c r="L83" s="8" t="s">
        <v>227</v>
      </c>
      <c r="N83" s="7" t="s">
        <v>65</v>
      </c>
      <c r="P83" s="7" t="s">
        <v>30</v>
      </c>
      <c r="Q83" s="7" t="s">
        <v>112</v>
      </c>
      <c r="R83" s="7" t="s">
        <v>49</v>
      </c>
    </row>
    <row r="84">
      <c r="A84" s="5">
        <v>46280.55779784722</v>
      </c>
      <c r="B84" s="6">
        <v>46296.0</v>
      </c>
      <c r="C84" s="7" t="s">
        <v>228</v>
      </c>
      <c r="D84" s="7" t="s">
        <v>229</v>
      </c>
      <c r="E84" s="7" t="s">
        <v>87</v>
      </c>
      <c r="F84" s="7" t="s">
        <v>25</v>
      </c>
      <c r="G84" s="13" t="s">
        <v>112</v>
      </c>
      <c r="H84" s="10" t="s">
        <v>27</v>
      </c>
      <c r="I84" s="10" t="s">
        <v>28</v>
      </c>
      <c r="J84" s="18">
        <f t="shared" si="12"/>
        <v>46303.42043</v>
      </c>
      <c r="K84" s="7" t="s">
        <v>29</v>
      </c>
      <c r="L84" s="8" t="s">
        <v>230</v>
      </c>
      <c r="N84" s="7" t="s">
        <v>65</v>
      </c>
      <c r="P84" s="7" t="s">
        <v>30</v>
      </c>
      <c r="Q84" s="7" t="s">
        <v>112</v>
      </c>
      <c r="R84" s="7" t="s">
        <v>49</v>
      </c>
    </row>
    <row r="85">
      <c r="A85" s="5">
        <v>46280.707957708335</v>
      </c>
      <c r="B85" s="6">
        <v>46283.0</v>
      </c>
      <c r="C85" s="7" t="s">
        <v>231</v>
      </c>
      <c r="D85" s="8" t="s">
        <v>232</v>
      </c>
      <c r="E85" s="7" t="s">
        <v>79</v>
      </c>
      <c r="F85" s="7" t="s">
        <v>25</v>
      </c>
      <c r="G85" s="13" t="s">
        <v>40</v>
      </c>
      <c r="H85" s="10" t="s">
        <v>27</v>
      </c>
      <c r="I85" s="10" t="s">
        <v>41</v>
      </c>
      <c r="J85" s="11" t="str">
        <f t="shared" si="12"/>
        <v/>
      </c>
      <c r="K85" s="7" t="s">
        <v>29</v>
      </c>
      <c r="N85" s="7" t="s">
        <v>30</v>
      </c>
      <c r="P85" s="7" t="s">
        <v>30</v>
      </c>
      <c r="Q85" s="7" t="s">
        <v>42</v>
      </c>
      <c r="R85" s="7" t="s">
        <v>90</v>
      </c>
    </row>
    <row r="86">
      <c r="A86" s="5">
        <v>46281.52725489583</v>
      </c>
      <c r="B86" s="6">
        <v>46293.0</v>
      </c>
      <c r="C86" s="7" t="s">
        <v>233</v>
      </c>
      <c r="D86" s="7" t="s">
        <v>234</v>
      </c>
      <c r="E86" s="7" t="s">
        <v>235</v>
      </c>
      <c r="F86" s="7" t="s">
        <v>25</v>
      </c>
      <c r="G86" s="13" t="s">
        <v>127</v>
      </c>
      <c r="H86" s="10" t="s">
        <v>27</v>
      </c>
      <c r="I86" s="10" t="s">
        <v>28</v>
      </c>
      <c r="J86" s="12">
        <v>46296.0</v>
      </c>
      <c r="K86" s="7" t="s">
        <v>29</v>
      </c>
      <c r="N86" s="7" t="s">
        <v>129</v>
      </c>
      <c r="P86" s="7" t="s">
        <v>30</v>
      </c>
      <c r="Q86" s="7" t="s">
        <v>127</v>
      </c>
      <c r="R86" s="7" t="s">
        <v>49</v>
      </c>
    </row>
    <row r="87">
      <c r="A87" s="5">
        <v>46281.59019849537</v>
      </c>
      <c r="B87" s="6">
        <v>46293.0</v>
      </c>
      <c r="C87" s="21" t="s">
        <v>236</v>
      </c>
      <c r="D87" s="8" t="s">
        <v>237</v>
      </c>
      <c r="E87" s="7" t="s">
        <v>178</v>
      </c>
      <c r="F87" s="7" t="s">
        <v>25</v>
      </c>
      <c r="G87" s="13" t="s">
        <v>26</v>
      </c>
      <c r="H87" s="10" t="s">
        <v>71</v>
      </c>
      <c r="I87" s="10" t="s">
        <v>28</v>
      </c>
      <c r="J87" s="18">
        <f t="shared" ref="J87:J93" si="13">IF(I87="Terminado", IF(J87="", NOW(), J87), "")</f>
        <v>46293.57901</v>
      </c>
      <c r="K87" s="7" t="s">
        <v>29</v>
      </c>
      <c r="N87" s="7" t="s">
        <v>30</v>
      </c>
      <c r="P87" s="7" t="s">
        <v>30</v>
      </c>
      <c r="Q87" s="7" t="s">
        <v>26</v>
      </c>
      <c r="R87" s="7" t="s">
        <v>52</v>
      </c>
    </row>
    <row r="88">
      <c r="A88" s="5">
        <v>46281.609415300925</v>
      </c>
      <c r="B88" s="6">
        <v>46289.0</v>
      </c>
      <c r="C88" s="21" t="s">
        <v>238</v>
      </c>
      <c r="D88" s="8" t="s">
        <v>239</v>
      </c>
      <c r="E88" s="7" t="s">
        <v>178</v>
      </c>
      <c r="F88" s="7" t="s">
        <v>25</v>
      </c>
      <c r="G88" s="13" t="s">
        <v>26</v>
      </c>
      <c r="H88" s="10" t="s">
        <v>71</v>
      </c>
      <c r="I88" s="10" t="s">
        <v>28</v>
      </c>
      <c r="J88" s="18">
        <f t="shared" si="13"/>
        <v>46288.69018</v>
      </c>
      <c r="K88" s="7" t="s">
        <v>29</v>
      </c>
      <c r="N88" s="7" t="s">
        <v>30</v>
      </c>
      <c r="P88" s="7" t="s">
        <v>30</v>
      </c>
      <c r="Q88" s="7" t="s">
        <v>26</v>
      </c>
      <c r="R88" s="7" t="s">
        <v>52</v>
      </c>
    </row>
    <row r="89">
      <c r="A89" s="5">
        <v>46281.708839618055</v>
      </c>
      <c r="B89" s="23">
        <v>46283.0</v>
      </c>
      <c r="C89" s="7" t="s">
        <v>240</v>
      </c>
      <c r="D89" s="7" t="s">
        <v>241</v>
      </c>
      <c r="F89" s="7" t="s">
        <v>25</v>
      </c>
      <c r="G89" s="13" t="s">
        <v>242</v>
      </c>
      <c r="H89" s="10" t="s">
        <v>27</v>
      </c>
      <c r="I89" s="10" t="s">
        <v>28</v>
      </c>
      <c r="J89" s="18">
        <f t="shared" si="13"/>
        <v>46283.68734</v>
      </c>
      <c r="K89" s="7" t="s">
        <v>243</v>
      </c>
      <c r="M89" s="7" t="s">
        <v>244</v>
      </c>
      <c r="P89" s="7" t="s">
        <v>130</v>
      </c>
      <c r="Q89" s="7" t="s">
        <v>242</v>
      </c>
      <c r="R89" s="7" t="s">
        <v>49</v>
      </c>
      <c r="U89" s="7" t="s">
        <v>245</v>
      </c>
      <c r="V89" s="7" t="s">
        <v>246</v>
      </c>
    </row>
    <row r="90">
      <c r="A90" s="5">
        <v>46282.34846690972</v>
      </c>
      <c r="B90" s="6">
        <v>46288.0</v>
      </c>
      <c r="C90" s="24" t="s">
        <v>247</v>
      </c>
      <c r="D90" s="8" t="s">
        <v>248</v>
      </c>
      <c r="E90" s="7" t="s">
        <v>87</v>
      </c>
      <c r="F90" s="7" t="s">
        <v>25</v>
      </c>
      <c r="G90" s="13" t="s">
        <v>40</v>
      </c>
      <c r="H90" s="10" t="s">
        <v>27</v>
      </c>
      <c r="I90" s="10" t="s">
        <v>41</v>
      </c>
      <c r="J90" s="11" t="str">
        <f t="shared" si="13"/>
        <v/>
      </c>
      <c r="K90" s="7" t="s">
        <v>29</v>
      </c>
      <c r="N90" s="7" t="s">
        <v>30</v>
      </c>
      <c r="P90" s="7" t="s">
        <v>30</v>
      </c>
      <c r="Q90" s="7" t="s">
        <v>42</v>
      </c>
      <c r="R90" s="7" t="s">
        <v>49</v>
      </c>
    </row>
    <row r="91">
      <c r="A91" s="5">
        <v>46282.48544925926</v>
      </c>
      <c r="B91" s="6">
        <v>46294.0</v>
      </c>
      <c r="C91" s="7" t="s">
        <v>249</v>
      </c>
      <c r="D91" s="8" t="s">
        <v>250</v>
      </c>
      <c r="E91" s="7" t="s">
        <v>39</v>
      </c>
      <c r="F91" s="7" t="s">
        <v>25</v>
      </c>
      <c r="G91" s="13" t="s">
        <v>26</v>
      </c>
      <c r="H91" s="10" t="s">
        <v>27</v>
      </c>
      <c r="I91" s="10" t="s">
        <v>41</v>
      </c>
      <c r="J91" s="11" t="str">
        <f t="shared" si="13"/>
        <v/>
      </c>
      <c r="K91" s="7" t="s">
        <v>29</v>
      </c>
      <c r="N91" s="7" t="s">
        <v>30</v>
      </c>
      <c r="P91" s="7" t="s">
        <v>30</v>
      </c>
      <c r="Q91" s="7" t="s">
        <v>26</v>
      </c>
      <c r="R91" s="7" t="s">
        <v>52</v>
      </c>
    </row>
    <row r="92">
      <c r="A92" s="5">
        <v>46282.520219247686</v>
      </c>
      <c r="B92" s="6">
        <v>46290.0</v>
      </c>
      <c r="C92" s="7" t="s">
        <v>251</v>
      </c>
      <c r="D92" s="8" t="s">
        <v>252</v>
      </c>
      <c r="E92" s="7" t="s">
        <v>39</v>
      </c>
      <c r="F92" s="7" t="s">
        <v>25</v>
      </c>
      <c r="G92" s="13" t="s">
        <v>26</v>
      </c>
      <c r="H92" s="10" t="s">
        <v>27</v>
      </c>
      <c r="I92" s="10" t="s">
        <v>41</v>
      </c>
      <c r="J92" s="11" t="str">
        <f t="shared" si="13"/>
        <v/>
      </c>
      <c r="K92" s="7" t="s">
        <v>29</v>
      </c>
      <c r="N92" s="7" t="s">
        <v>30</v>
      </c>
      <c r="P92" s="7" t="s">
        <v>30</v>
      </c>
      <c r="Q92" s="7" t="s">
        <v>26</v>
      </c>
      <c r="R92" s="7" t="s">
        <v>52</v>
      </c>
    </row>
    <row r="93">
      <c r="A93" s="5">
        <v>46282.52259508102</v>
      </c>
      <c r="B93" s="6">
        <v>46288.0</v>
      </c>
      <c r="C93" s="7" t="s">
        <v>253</v>
      </c>
      <c r="D93" s="7" t="s">
        <v>254</v>
      </c>
      <c r="F93" s="7" t="s">
        <v>25</v>
      </c>
      <c r="G93" s="13" t="s">
        <v>127</v>
      </c>
      <c r="H93" s="10" t="s">
        <v>27</v>
      </c>
      <c r="I93" s="10" t="s">
        <v>41</v>
      </c>
      <c r="J93" s="11" t="str">
        <f t="shared" si="13"/>
        <v/>
      </c>
      <c r="K93" s="7" t="s">
        <v>29</v>
      </c>
      <c r="L93" s="8" t="s">
        <v>255</v>
      </c>
      <c r="M93" s="7" t="s">
        <v>151</v>
      </c>
      <c r="N93" s="7" t="s">
        <v>129</v>
      </c>
      <c r="P93" s="7" t="s">
        <v>130</v>
      </c>
      <c r="Q93" s="7" t="s">
        <v>127</v>
      </c>
      <c r="R93" s="7" t="s">
        <v>49</v>
      </c>
      <c r="U93" s="7" t="s">
        <v>131</v>
      </c>
      <c r="V93" s="7" t="s">
        <v>256</v>
      </c>
    </row>
    <row r="94">
      <c r="A94" s="5">
        <v>46282.52947576389</v>
      </c>
      <c r="B94" s="6">
        <v>46287.0</v>
      </c>
      <c r="C94" s="21" t="s">
        <v>257</v>
      </c>
      <c r="D94" s="8" t="s">
        <v>258</v>
      </c>
      <c r="E94" s="7" t="s">
        <v>124</v>
      </c>
      <c r="F94" s="7" t="s">
        <v>25</v>
      </c>
      <c r="G94" s="13" t="s">
        <v>40</v>
      </c>
      <c r="H94" s="10" t="s">
        <v>27</v>
      </c>
      <c r="I94" s="10" t="s">
        <v>28</v>
      </c>
      <c r="J94" s="12">
        <v>46287.0</v>
      </c>
      <c r="K94" s="7" t="s">
        <v>29</v>
      </c>
      <c r="N94" s="7" t="s">
        <v>30</v>
      </c>
      <c r="P94" s="7" t="s">
        <v>30</v>
      </c>
      <c r="Q94" s="7" t="s">
        <v>42</v>
      </c>
      <c r="R94" s="7" t="s">
        <v>49</v>
      </c>
    </row>
    <row r="95">
      <c r="A95" s="5">
        <v>46282.533905324075</v>
      </c>
      <c r="B95" s="6">
        <v>46283.0</v>
      </c>
      <c r="C95" s="7" t="s">
        <v>259</v>
      </c>
      <c r="D95" s="7" t="s">
        <v>260</v>
      </c>
      <c r="E95" s="7" t="s">
        <v>45</v>
      </c>
      <c r="F95" s="7" t="s">
        <v>25</v>
      </c>
      <c r="G95" s="13" t="s">
        <v>40</v>
      </c>
      <c r="H95" s="10" t="s">
        <v>27</v>
      </c>
      <c r="I95" s="10" t="s">
        <v>28</v>
      </c>
      <c r="J95" s="18">
        <f t="shared" ref="J95:J107" si="14">IF(I95="Terminado", IF(J95="", NOW(), J95), "")</f>
        <v>46283.42283</v>
      </c>
      <c r="K95" s="7" t="s">
        <v>55</v>
      </c>
      <c r="P95" s="7" t="s">
        <v>30</v>
      </c>
      <c r="Q95" s="7" t="s">
        <v>42</v>
      </c>
      <c r="R95" s="7" t="s">
        <v>49</v>
      </c>
    </row>
    <row r="96">
      <c r="A96" s="5">
        <v>46282.67277053241</v>
      </c>
      <c r="B96" s="6">
        <v>46290.0</v>
      </c>
      <c r="C96" s="24" t="s">
        <v>261</v>
      </c>
      <c r="D96" s="8" t="s">
        <v>262</v>
      </c>
      <c r="E96" s="7" t="s">
        <v>39</v>
      </c>
      <c r="F96" s="7" t="s">
        <v>25</v>
      </c>
      <c r="G96" s="13" t="s">
        <v>40</v>
      </c>
      <c r="H96" s="10" t="s">
        <v>27</v>
      </c>
      <c r="I96" s="10" t="s">
        <v>41</v>
      </c>
      <c r="J96" s="11" t="str">
        <f t="shared" si="14"/>
        <v/>
      </c>
      <c r="K96" s="7" t="s">
        <v>29</v>
      </c>
      <c r="N96" s="7" t="s">
        <v>30</v>
      </c>
      <c r="P96" s="7" t="s">
        <v>30</v>
      </c>
      <c r="Q96" s="7" t="s">
        <v>42</v>
      </c>
      <c r="R96" s="7" t="s">
        <v>90</v>
      </c>
    </row>
    <row r="97" ht="16.5" customHeight="1">
      <c r="A97" s="5">
        <v>46281.632979120375</v>
      </c>
      <c r="B97" s="6">
        <v>46290.0</v>
      </c>
      <c r="C97" s="21" t="s">
        <v>263</v>
      </c>
      <c r="D97" s="8" t="s">
        <v>264</v>
      </c>
      <c r="E97" s="7" t="s">
        <v>178</v>
      </c>
      <c r="F97" s="7" t="s">
        <v>25</v>
      </c>
      <c r="G97" s="13" t="s">
        <v>26</v>
      </c>
      <c r="H97" s="10" t="s">
        <v>71</v>
      </c>
      <c r="I97" s="10" t="s">
        <v>265</v>
      </c>
      <c r="J97" s="11" t="str">
        <f t="shared" si="14"/>
        <v/>
      </c>
      <c r="K97" s="7" t="s">
        <v>29</v>
      </c>
      <c r="N97" s="7" t="s">
        <v>30</v>
      </c>
      <c r="P97" s="7" t="s">
        <v>30</v>
      </c>
      <c r="Q97" s="7" t="s">
        <v>26</v>
      </c>
      <c r="R97" s="7" t="s">
        <v>52</v>
      </c>
    </row>
    <row r="98">
      <c r="A98" s="5">
        <v>46282.70875329861</v>
      </c>
      <c r="B98" s="6">
        <v>46283.0</v>
      </c>
      <c r="C98" s="7" t="s">
        <v>266</v>
      </c>
      <c r="D98" s="7" t="s">
        <v>267</v>
      </c>
      <c r="F98" s="7" t="s">
        <v>25</v>
      </c>
      <c r="G98" s="13" t="s">
        <v>127</v>
      </c>
      <c r="H98" s="10" t="s">
        <v>27</v>
      </c>
      <c r="I98" s="10" t="s">
        <v>28</v>
      </c>
      <c r="J98" s="18">
        <f t="shared" si="14"/>
        <v>46283.68734</v>
      </c>
      <c r="K98" s="7" t="s">
        <v>29</v>
      </c>
      <c r="M98" s="7" t="s">
        <v>268</v>
      </c>
      <c r="N98" s="7" t="s">
        <v>129</v>
      </c>
      <c r="P98" s="7" t="s">
        <v>130</v>
      </c>
      <c r="Q98" s="7" t="s">
        <v>127</v>
      </c>
      <c r="R98" s="7" t="s">
        <v>52</v>
      </c>
      <c r="S98" s="7" t="s">
        <v>269</v>
      </c>
      <c r="T98" s="7" t="s">
        <v>128</v>
      </c>
      <c r="U98" s="7" t="s">
        <v>152</v>
      </c>
      <c r="V98" s="7" t="s">
        <v>270</v>
      </c>
    </row>
    <row r="99" ht="17.25" customHeight="1">
      <c r="A99" s="5">
        <v>46283.34857894676</v>
      </c>
      <c r="B99" s="6">
        <v>46283.0</v>
      </c>
      <c r="C99" s="7" t="s">
        <v>72</v>
      </c>
      <c r="D99" s="7" t="s">
        <v>72</v>
      </c>
      <c r="E99" s="7" t="s">
        <v>271</v>
      </c>
      <c r="F99" s="7" t="s">
        <v>25</v>
      </c>
      <c r="G99" s="13" t="s">
        <v>26</v>
      </c>
      <c r="H99" s="10" t="s">
        <v>27</v>
      </c>
      <c r="I99" s="10" t="s">
        <v>28</v>
      </c>
      <c r="J99" s="18">
        <f t="shared" si="14"/>
        <v>46283.68734</v>
      </c>
      <c r="K99" s="7" t="s">
        <v>46</v>
      </c>
      <c r="N99" s="7" t="s">
        <v>30</v>
      </c>
      <c r="P99" s="7" t="s">
        <v>30</v>
      </c>
      <c r="Q99" s="7" t="s">
        <v>26</v>
      </c>
      <c r="R99" s="7" t="s">
        <v>52</v>
      </c>
    </row>
    <row r="100">
      <c r="A100" s="5">
        <v>46283.430808414356</v>
      </c>
      <c r="B100" s="6">
        <v>46289.0</v>
      </c>
      <c r="C100" s="7" t="s">
        <v>272</v>
      </c>
      <c r="D100" s="8" t="s">
        <v>273</v>
      </c>
      <c r="E100" s="7" t="s">
        <v>87</v>
      </c>
      <c r="F100" s="7" t="s">
        <v>25</v>
      </c>
      <c r="G100" s="13" t="s">
        <v>40</v>
      </c>
      <c r="H100" s="10" t="s">
        <v>27</v>
      </c>
      <c r="I100" s="10" t="s">
        <v>41</v>
      </c>
      <c r="J100" s="11" t="str">
        <f t="shared" si="14"/>
        <v/>
      </c>
      <c r="K100" s="7" t="s">
        <v>29</v>
      </c>
      <c r="N100" s="7" t="s">
        <v>30</v>
      </c>
      <c r="P100" s="7" t="s">
        <v>30</v>
      </c>
      <c r="Q100" s="7" t="s">
        <v>42</v>
      </c>
      <c r="R100" s="7" t="s">
        <v>49</v>
      </c>
    </row>
    <row r="101" ht="18.0" customHeight="1">
      <c r="A101" s="5">
        <v>46283.43221172453</v>
      </c>
      <c r="B101" s="6">
        <v>46283.0</v>
      </c>
      <c r="C101" s="7" t="s">
        <v>274</v>
      </c>
      <c r="D101" s="7" t="s">
        <v>275</v>
      </c>
      <c r="E101" s="7" t="s">
        <v>24</v>
      </c>
      <c r="F101" s="7" t="s">
        <v>25</v>
      </c>
      <c r="G101" s="13" t="s">
        <v>40</v>
      </c>
      <c r="H101" s="10" t="s">
        <v>27</v>
      </c>
      <c r="I101" s="10" t="s">
        <v>28</v>
      </c>
      <c r="J101" s="18">
        <f t="shared" si="14"/>
        <v>46283.68734</v>
      </c>
      <c r="K101" s="7" t="s">
        <v>55</v>
      </c>
      <c r="P101" s="7" t="s">
        <v>30</v>
      </c>
      <c r="Q101" s="7" t="s">
        <v>42</v>
      </c>
      <c r="R101" s="7" t="s">
        <v>49</v>
      </c>
    </row>
    <row r="102">
      <c r="A102" s="5">
        <v>46283.69382296296</v>
      </c>
      <c r="B102" s="6">
        <v>46288.0</v>
      </c>
      <c r="C102" s="7" t="s">
        <v>276</v>
      </c>
      <c r="D102" s="7" t="s">
        <v>277</v>
      </c>
      <c r="E102" s="7" t="s">
        <v>178</v>
      </c>
      <c r="F102" s="7" t="s">
        <v>25</v>
      </c>
      <c r="G102" s="13" t="s">
        <v>40</v>
      </c>
      <c r="H102" s="10" t="s">
        <v>71</v>
      </c>
      <c r="I102" s="10" t="s">
        <v>28</v>
      </c>
      <c r="J102" s="18">
        <f t="shared" si="14"/>
        <v>46288.69032</v>
      </c>
      <c r="K102" s="7" t="s">
        <v>29</v>
      </c>
      <c r="L102" s="8" t="s">
        <v>278</v>
      </c>
      <c r="N102" s="7" t="s">
        <v>119</v>
      </c>
      <c r="P102" s="7" t="s">
        <v>30</v>
      </c>
      <c r="Q102" s="7" t="s">
        <v>42</v>
      </c>
      <c r="R102" s="7" t="s">
        <v>90</v>
      </c>
    </row>
    <row r="103" ht="16.5" customHeight="1">
      <c r="A103" s="5">
        <v>46283.70831670139</v>
      </c>
      <c r="B103" s="6">
        <v>46290.0</v>
      </c>
      <c r="C103" s="24" t="s">
        <v>279</v>
      </c>
      <c r="D103" s="8" t="s">
        <v>280</v>
      </c>
      <c r="E103" s="7" t="s">
        <v>39</v>
      </c>
      <c r="F103" s="7" t="s">
        <v>25</v>
      </c>
      <c r="G103" s="13" t="s">
        <v>40</v>
      </c>
      <c r="H103" s="10" t="s">
        <v>27</v>
      </c>
      <c r="I103" s="10" t="s">
        <v>41</v>
      </c>
      <c r="J103" s="11" t="str">
        <f t="shared" si="14"/>
        <v/>
      </c>
      <c r="K103" s="7" t="s">
        <v>29</v>
      </c>
      <c r="N103" s="7" t="s">
        <v>30</v>
      </c>
      <c r="P103" s="7" t="s">
        <v>30</v>
      </c>
      <c r="Q103" s="7" t="s">
        <v>42</v>
      </c>
      <c r="R103" s="7" t="s">
        <v>90</v>
      </c>
    </row>
    <row r="104" ht="18.0" customHeight="1">
      <c r="A104" s="5">
        <v>46286.3887684375</v>
      </c>
      <c r="B104" s="6">
        <v>46286.0</v>
      </c>
      <c r="C104" s="7" t="s">
        <v>281</v>
      </c>
      <c r="D104" s="7" t="s">
        <v>282</v>
      </c>
      <c r="E104" s="7" t="s">
        <v>45</v>
      </c>
      <c r="F104" s="7" t="s">
        <v>25</v>
      </c>
      <c r="G104" s="13" t="s">
        <v>40</v>
      </c>
      <c r="H104" s="10" t="s">
        <v>27</v>
      </c>
      <c r="I104" s="10" t="s">
        <v>28</v>
      </c>
      <c r="J104" s="18">
        <f t="shared" si="14"/>
        <v>46286.6123</v>
      </c>
      <c r="K104" s="7" t="s">
        <v>55</v>
      </c>
      <c r="P104" s="7" t="s">
        <v>30</v>
      </c>
      <c r="Q104" s="7" t="s">
        <v>42</v>
      </c>
      <c r="R104" s="7" t="s">
        <v>49</v>
      </c>
    </row>
    <row r="105" ht="15.0" customHeight="1">
      <c r="A105" s="5">
        <v>46286.49029717593</v>
      </c>
      <c r="B105" s="6">
        <v>46295.0</v>
      </c>
      <c r="C105" s="25" t="s">
        <v>283</v>
      </c>
      <c r="D105" s="7" t="s">
        <v>284</v>
      </c>
      <c r="E105" s="7" t="s">
        <v>285</v>
      </c>
      <c r="F105" s="7" t="s">
        <v>25</v>
      </c>
      <c r="G105" s="13" t="s">
        <v>40</v>
      </c>
      <c r="H105" s="10" t="s">
        <v>71</v>
      </c>
      <c r="I105" s="10" t="s">
        <v>41</v>
      </c>
      <c r="J105" s="11" t="str">
        <f t="shared" si="14"/>
        <v/>
      </c>
      <c r="K105" s="7" t="s">
        <v>29</v>
      </c>
      <c r="N105" s="7" t="s">
        <v>30</v>
      </c>
      <c r="P105" s="7" t="s">
        <v>30</v>
      </c>
      <c r="Q105" s="7" t="s">
        <v>42</v>
      </c>
      <c r="R105" s="7" t="s">
        <v>286</v>
      </c>
    </row>
    <row r="106">
      <c r="A106" s="5">
        <v>46286.61178048611</v>
      </c>
      <c r="B106" s="6">
        <v>46290.0</v>
      </c>
      <c r="C106" s="21" t="s">
        <v>287</v>
      </c>
      <c r="D106" s="8" t="s">
        <v>288</v>
      </c>
      <c r="E106" s="7" t="s">
        <v>79</v>
      </c>
      <c r="F106" s="7" t="s">
        <v>25</v>
      </c>
      <c r="G106" s="13" t="s">
        <v>40</v>
      </c>
      <c r="H106" s="10" t="s">
        <v>71</v>
      </c>
      <c r="I106" s="10" t="s">
        <v>265</v>
      </c>
      <c r="J106" s="11" t="str">
        <f t="shared" si="14"/>
        <v/>
      </c>
      <c r="K106" s="7" t="s">
        <v>29</v>
      </c>
      <c r="N106" s="7" t="s">
        <v>30</v>
      </c>
      <c r="P106" s="7" t="s">
        <v>30</v>
      </c>
      <c r="Q106" s="7" t="s">
        <v>42</v>
      </c>
      <c r="R106" s="7" t="s">
        <v>286</v>
      </c>
    </row>
    <row r="107" ht="15.0" customHeight="1">
      <c r="A107" s="5">
        <v>46286.662372997685</v>
      </c>
      <c r="B107" s="6">
        <v>46293.0</v>
      </c>
      <c r="C107" s="7" t="s">
        <v>289</v>
      </c>
      <c r="D107" s="7" t="s">
        <v>290</v>
      </c>
      <c r="E107" s="7" t="s">
        <v>45</v>
      </c>
      <c r="F107" s="7" t="s">
        <v>25</v>
      </c>
      <c r="G107" s="13" t="s">
        <v>40</v>
      </c>
      <c r="H107" s="10" t="s">
        <v>27</v>
      </c>
      <c r="I107" s="10" t="s">
        <v>28</v>
      </c>
      <c r="J107" s="18">
        <f t="shared" si="14"/>
        <v>46293.54237</v>
      </c>
      <c r="K107" s="7" t="s">
        <v>55</v>
      </c>
      <c r="P107" s="7" t="s">
        <v>30</v>
      </c>
      <c r="Q107" s="7" t="s">
        <v>42</v>
      </c>
      <c r="R107" s="7" t="s">
        <v>49</v>
      </c>
    </row>
    <row r="108" ht="16.5" customHeight="1">
      <c r="A108" s="5">
        <v>46287.3821021412</v>
      </c>
      <c r="B108" s="6">
        <v>46287.0</v>
      </c>
      <c r="C108" s="7" t="s">
        <v>72</v>
      </c>
      <c r="D108" s="7" t="s">
        <v>72</v>
      </c>
      <c r="E108" s="7" t="s">
        <v>54</v>
      </c>
      <c r="F108" s="7" t="s">
        <v>25</v>
      </c>
      <c r="G108" s="13" t="s">
        <v>26</v>
      </c>
      <c r="H108" s="10" t="s">
        <v>27</v>
      </c>
      <c r="I108" s="10" t="s">
        <v>28</v>
      </c>
      <c r="J108" s="12">
        <v>46287.0</v>
      </c>
      <c r="K108" s="7" t="s">
        <v>46</v>
      </c>
      <c r="P108" s="7" t="s">
        <v>30</v>
      </c>
      <c r="Q108" s="7" t="s">
        <v>26</v>
      </c>
      <c r="R108" s="7" t="s">
        <v>52</v>
      </c>
    </row>
    <row r="109">
      <c r="A109" s="5">
        <v>46287.68323539352</v>
      </c>
      <c r="B109" s="6">
        <v>46287.0</v>
      </c>
      <c r="C109" s="7" t="s">
        <v>291</v>
      </c>
      <c r="D109" s="7" t="s">
        <v>292</v>
      </c>
      <c r="E109" s="7" t="s">
        <v>39</v>
      </c>
      <c r="F109" s="7" t="s">
        <v>25</v>
      </c>
      <c r="G109" s="13" t="s">
        <v>293</v>
      </c>
      <c r="H109" s="10" t="s">
        <v>27</v>
      </c>
      <c r="I109" s="10" t="s">
        <v>28</v>
      </c>
      <c r="J109" s="12">
        <v>46287.0</v>
      </c>
      <c r="K109" s="7" t="s">
        <v>163</v>
      </c>
      <c r="P109" s="7" t="s">
        <v>30</v>
      </c>
      <c r="Q109" s="7" t="s">
        <v>42</v>
      </c>
      <c r="R109" s="7" t="s">
        <v>286</v>
      </c>
    </row>
    <row r="110" ht="15.75" customHeight="1">
      <c r="A110" s="5">
        <v>46288.39330002315</v>
      </c>
      <c r="B110" s="6">
        <v>46287.0</v>
      </c>
      <c r="C110" s="7" t="s">
        <v>60</v>
      </c>
      <c r="D110" s="7" t="s">
        <v>60</v>
      </c>
      <c r="E110" s="7" t="s">
        <v>94</v>
      </c>
      <c r="F110" s="7" t="s">
        <v>25</v>
      </c>
      <c r="G110" s="17" t="s">
        <v>134</v>
      </c>
      <c r="H110" s="10" t="s">
        <v>27</v>
      </c>
      <c r="I110" s="10" t="s">
        <v>28</v>
      </c>
      <c r="J110" s="12">
        <v>46287.0</v>
      </c>
      <c r="K110" s="7" t="s">
        <v>55</v>
      </c>
      <c r="P110" s="7" t="s">
        <v>30</v>
      </c>
      <c r="Q110" s="7" t="s">
        <v>26</v>
      </c>
      <c r="R110" s="7" t="s">
        <v>52</v>
      </c>
    </row>
    <row r="111">
      <c r="A111" s="5">
        <v>46289.39169626158</v>
      </c>
      <c r="B111" s="6">
        <v>46290.0</v>
      </c>
      <c r="C111" s="7" t="s">
        <v>294</v>
      </c>
      <c r="D111" s="7" t="s">
        <v>295</v>
      </c>
      <c r="E111" s="7" t="s">
        <v>45</v>
      </c>
      <c r="F111" s="7" t="s">
        <v>25</v>
      </c>
      <c r="G111" s="13" t="s">
        <v>40</v>
      </c>
      <c r="H111" s="10" t="s">
        <v>296</v>
      </c>
      <c r="I111" s="10" t="s">
        <v>28</v>
      </c>
      <c r="J111" s="12">
        <v>46290.0</v>
      </c>
      <c r="K111" s="7" t="s">
        <v>55</v>
      </c>
      <c r="P111" s="7" t="s">
        <v>30</v>
      </c>
      <c r="Q111" s="7" t="s">
        <v>42</v>
      </c>
      <c r="R111" s="7" t="s">
        <v>49</v>
      </c>
    </row>
    <row r="112">
      <c r="A112" s="5">
        <v>46290.359119189816</v>
      </c>
      <c r="B112" s="6">
        <v>46290.0</v>
      </c>
      <c r="C112" s="7" t="s">
        <v>297</v>
      </c>
      <c r="D112" s="7" t="s">
        <v>72</v>
      </c>
      <c r="E112" s="7" t="s">
        <v>93</v>
      </c>
      <c r="F112" s="7" t="s">
        <v>25</v>
      </c>
      <c r="G112" s="13" t="s">
        <v>26</v>
      </c>
      <c r="H112" s="10" t="s">
        <v>296</v>
      </c>
      <c r="I112" s="10" t="s">
        <v>28</v>
      </c>
      <c r="J112" s="12">
        <v>46290.0</v>
      </c>
      <c r="K112" s="7" t="s">
        <v>46</v>
      </c>
      <c r="P112" s="7" t="s">
        <v>30</v>
      </c>
      <c r="Q112" s="7" t="s">
        <v>26</v>
      </c>
      <c r="R112" s="7" t="s">
        <v>52</v>
      </c>
    </row>
    <row r="113">
      <c r="A113" s="5">
        <v>46290.57742163194</v>
      </c>
      <c r="B113" s="6">
        <v>46294.0</v>
      </c>
      <c r="C113" s="7" t="s">
        <v>298</v>
      </c>
      <c r="D113" s="7" t="s">
        <v>299</v>
      </c>
      <c r="E113" s="7" t="s">
        <v>87</v>
      </c>
      <c r="F113" s="7" t="s">
        <v>25</v>
      </c>
      <c r="G113" s="13" t="s">
        <v>64</v>
      </c>
      <c r="H113" s="10" t="s">
        <v>27</v>
      </c>
      <c r="I113" s="10" t="s">
        <v>28</v>
      </c>
      <c r="J113" s="12">
        <v>46290.0</v>
      </c>
      <c r="K113" s="7" t="s">
        <v>29</v>
      </c>
      <c r="N113" s="7" t="s">
        <v>65</v>
      </c>
      <c r="P113" s="7" t="s">
        <v>30</v>
      </c>
      <c r="Q113" s="7" t="s">
        <v>64</v>
      </c>
      <c r="R113" s="7" t="s">
        <v>49</v>
      </c>
    </row>
    <row r="114" ht="15.0" customHeight="1">
      <c r="A114" s="5">
        <v>46290.588766076384</v>
      </c>
      <c r="B114" s="6">
        <v>46297.0</v>
      </c>
      <c r="C114" s="7" t="s">
        <v>300</v>
      </c>
      <c r="D114" s="7" t="s">
        <v>301</v>
      </c>
      <c r="E114" s="7" t="s">
        <v>87</v>
      </c>
      <c r="F114" s="7" t="s">
        <v>25</v>
      </c>
      <c r="G114" s="13" t="s">
        <v>64</v>
      </c>
      <c r="H114" s="10" t="s">
        <v>27</v>
      </c>
      <c r="I114" s="10" t="s">
        <v>28</v>
      </c>
      <c r="J114" s="12">
        <v>46302.0</v>
      </c>
      <c r="K114" s="7" t="s">
        <v>29</v>
      </c>
      <c r="N114" s="7" t="s">
        <v>65</v>
      </c>
      <c r="P114" s="7" t="s">
        <v>30</v>
      </c>
      <c r="Q114" s="7" t="s">
        <v>64</v>
      </c>
      <c r="R114" s="7" t="s">
        <v>49</v>
      </c>
    </row>
    <row r="115" ht="15.0" customHeight="1">
      <c r="A115" s="5">
        <v>46290.60732671296</v>
      </c>
      <c r="B115" s="6">
        <v>46304.0</v>
      </c>
      <c r="C115" s="7" t="s">
        <v>302</v>
      </c>
      <c r="D115" s="7" t="s">
        <v>303</v>
      </c>
      <c r="E115" s="7" t="s">
        <v>304</v>
      </c>
      <c r="F115" s="7" t="s">
        <v>25</v>
      </c>
      <c r="G115" s="13" t="s">
        <v>64</v>
      </c>
      <c r="H115" s="10" t="s">
        <v>27</v>
      </c>
      <c r="I115" s="10" t="s">
        <v>28</v>
      </c>
      <c r="J115" s="18">
        <f t="shared" ref="J115:J116" si="15">IF(I115="Terminado", IF(J115="", NOW(), J115), "")</f>
        <v>46303.42043</v>
      </c>
      <c r="K115" s="7" t="s">
        <v>29</v>
      </c>
      <c r="L115" s="26" t="s">
        <v>305</v>
      </c>
      <c r="N115" s="7" t="s">
        <v>65</v>
      </c>
      <c r="P115" s="7" t="s">
        <v>66</v>
      </c>
      <c r="Q115" s="7" t="s">
        <v>64</v>
      </c>
      <c r="R115" s="7" t="s">
        <v>49</v>
      </c>
    </row>
    <row r="116" ht="15.75" customHeight="1">
      <c r="A116" s="5">
        <v>46303.46296456018</v>
      </c>
      <c r="B116" s="6">
        <v>46311.0</v>
      </c>
      <c r="C116" s="7" t="s">
        <v>306</v>
      </c>
      <c r="D116" s="27" t="s">
        <v>252</v>
      </c>
      <c r="E116" s="7" t="s">
        <v>39</v>
      </c>
      <c r="F116" s="7" t="s">
        <v>25</v>
      </c>
      <c r="G116" s="13" t="s">
        <v>26</v>
      </c>
      <c r="H116" s="10" t="s">
        <v>27</v>
      </c>
      <c r="I116" s="10" t="s">
        <v>28</v>
      </c>
      <c r="J116" s="18">
        <f t="shared" si="15"/>
        <v>46314.60306</v>
      </c>
      <c r="K116" s="7" t="s">
        <v>29</v>
      </c>
      <c r="N116" s="7" t="s">
        <v>30</v>
      </c>
      <c r="P116" s="7" t="s">
        <v>30</v>
      </c>
      <c r="Q116" s="7" t="s">
        <v>26</v>
      </c>
      <c r="R116" s="7" t="s">
        <v>52</v>
      </c>
    </row>
    <row r="117" ht="15.75" customHeight="1">
      <c r="A117" s="5">
        <v>46293.441061481484</v>
      </c>
      <c r="B117" s="6">
        <v>46310.0</v>
      </c>
      <c r="C117" s="7" t="s">
        <v>307</v>
      </c>
      <c r="D117" s="8" t="s">
        <v>308</v>
      </c>
      <c r="E117" s="7" t="s">
        <v>178</v>
      </c>
      <c r="F117" s="7" t="s">
        <v>25</v>
      </c>
      <c r="G117" s="13" t="s">
        <v>26</v>
      </c>
      <c r="H117" s="10" t="s">
        <v>27</v>
      </c>
      <c r="I117" s="10" t="s">
        <v>28</v>
      </c>
      <c r="J117" s="12">
        <v>46310.0</v>
      </c>
      <c r="K117" s="7" t="s">
        <v>29</v>
      </c>
      <c r="N117" s="7" t="s">
        <v>30</v>
      </c>
      <c r="P117" s="7" t="s">
        <v>30</v>
      </c>
      <c r="Q117" s="7" t="s">
        <v>26</v>
      </c>
      <c r="R117" s="7" t="s">
        <v>178</v>
      </c>
    </row>
    <row r="118" ht="18.75" customHeight="1">
      <c r="A118" s="5">
        <v>46293.46186459491</v>
      </c>
      <c r="B118" s="6">
        <v>46311.0</v>
      </c>
      <c r="C118" s="7" t="s">
        <v>309</v>
      </c>
      <c r="D118" s="8" t="s">
        <v>310</v>
      </c>
      <c r="E118" s="7" t="s">
        <v>178</v>
      </c>
      <c r="F118" s="7" t="s">
        <v>25</v>
      </c>
      <c r="G118" s="13" t="s">
        <v>26</v>
      </c>
      <c r="H118" s="10" t="s">
        <v>27</v>
      </c>
      <c r="I118" s="10" t="s">
        <v>28</v>
      </c>
      <c r="J118" s="18">
        <f t="shared" ref="J118:J119" si="16">IF(I118="Terminado", IF(J118="", NOW(), J118), "")</f>
        <v>46311.47769</v>
      </c>
      <c r="K118" s="7" t="s">
        <v>29</v>
      </c>
      <c r="N118" s="7" t="s">
        <v>30</v>
      </c>
      <c r="P118" s="7" t="s">
        <v>30</v>
      </c>
      <c r="Q118" s="7" t="s">
        <v>26</v>
      </c>
      <c r="R118" s="7" t="s">
        <v>49</v>
      </c>
    </row>
    <row r="119" ht="12.75" customHeight="1">
      <c r="A119" s="5">
        <v>46293.52147518519</v>
      </c>
      <c r="B119" s="6">
        <v>46302.0</v>
      </c>
      <c r="C119" s="7" t="s">
        <v>311</v>
      </c>
      <c r="D119" s="8" t="s">
        <v>312</v>
      </c>
      <c r="E119" s="7" t="s">
        <v>87</v>
      </c>
      <c r="F119" s="7" t="s">
        <v>25</v>
      </c>
      <c r="G119" s="13" t="s">
        <v>26</v>
      </c>
      <c r="H119" s="10" t="s">
        <v>27</v>
      </c>
      <c r="I119" s="10" t="s">
        <v>28</v>
      </c>
      <c r="J119" s="18">
        <f t="shared" si="16"/>
        <v>46303.42043</v>
      </c>
      <c r="K119" s="7" t="s">
        <v>29</v>
      </c>
      <c r="N119" s="7" t="s">
        <v>30</v>
      </c>
      <c r="P119" s="7" t="s">
        <v>30</v>
      </c>
      <c r="Q119" s="7" t="s">
        <v>26</v>
      </c>
      <c r="R119" s="7" t="s">
        <v>49</v>
      </c>
    </row>
    <row r="120" ht="15.0" customHeight="1">
      <c r="A120" s="5">
        <v>46295.39890554398</v>
      </c>
      <c r="B120" s="6">
        <v>46297.0</v>
      </c>
      <c r="C120" s="7" t="s">
        <v>219</v>
      </c>
      <c r="D120" s="7" t="s">
        <v>313</v>
      </c>
      <c r="F120" s="7" t="s">
        <v>25</v>
      </c>
      <c r="G120" s="13" t="s">
        <v>112</v>
      </c>
      <c r="H120" s="10" t="s">
        <v>27</v>
      </c>
      <c r="I120" s="10" t="s">
        <v>28</v>
      </c>
      <c r="J120" s="12">
        <v>46296.0</v>
      </c>
      <c r="K120" s="7" t="s">
        <v>29</v>
      </c>
      <c r="M120" s="7" t="s">
        <v>221</v>
      </c>
      <c r="N120" s="7" t="s">
        <v>129</v>
      </c>
      <c r="P120" s="7" t="s">
        <v>130</v>
      </c>
      <c r="Q120" s="7" t="s">
        <v>112</v>
      </c>
      <c r="R120" s="7" t="s">
        <v>52</v>
      </c>
      <c r="U120" s="7" t="s">
        <v>131</v>
      </c>
      <c r="V120" s="7" t="s">
        <v>222</v>
      </c>
    </row>
    <row r="121">
      <c r="A121" s="5">
        <v>46296.652445370375</v>
      </c>
      <c r="B121" s="6">
        <v>46297.0</v>
      </c>
      <c r="C121" s="7" t="s">
        <v>314</v>
      </c>
      <c r="D121" s="7" t="s">
        <v>315</v>
      </c>
      <c r="E121" s="7" t="s">
        <v>24</v>
      </c>
      <c r="F121" s="7" t="s">
        <v>25</v>
      </c>
      <c r="G121" s="13" t="s">
        <v>40</v>
      </c>
      <c r="H121" s="10" t="s">
        <v>27</v>
      </c>
      <c r="I121" s="10" t="s">
        <v>28</v>
      </c>
      <c r="J121" s="18">
        <f t="shared" ref="J121:J122" si="17">IF(I121="Terminado", IF(J121="", NOW(), J121), "")</f>
        <v>46300.51461</v>
      </c>
      <c r="K121" s="7" t="s">
        <v>29</v>
      </c>
      <c r="L121" s="8" t="s">
        <v>316</v>
      </c>
      <c r="N121" s="7" t="s">
        <v>30</v>
      </c>
      <c r="P121" s="7" t="s">
        <v>30</v>
      </c>
      <c r="Q121" s="7" t="s">
        <v>42</v>
      </c>
      <c r="R121" s="7" t="s">
        <v>286</v>
      </c>
    </row>
    <row r="122" ht="14.25" customHeight="1">
      <c r="A122" s="5">
        <v>46297.618007060184</v>
      </c>
      <c r="B122" s="6">
        <v>46297.0</v>
      </c>
      <c r="C122" s="7" t="s">
        <v>72</v>
      </c>
      <c r="D122" s="7" t="s">
        <v>72</v>
      </c>
      <c r="E122" s="7" t="s">
        <v>93</v>
      </c>
      <c r="F122" s="7" t="s">
        <v>25</v>
      </c>
      <c r="G122" s="13" t="s">
        <v>26</v>
      </c>
      <c r="H122" s="10" t="s">
        <v>27</v>
      </c>
      <c r="I122" s="10" t="s">
        <v>28</v>
      </c>
      <c r="J122" s="18">
        <f t="shared" si="17"/>
        <v>46297.61937</v>
      </c>
      <c r="K122" s="7" t="s">
        <v>46</v>
      </c>
      <c r="P122" s="7" t="s">
        <v>30</v>
      </c>
      <c r="Q122" s="7" t="s">
        <v>26</v>
      </c>
      <c r="R122" s="7" t="s">
        <v>52</v>
      </c>
    </row>
    <row r="123" ht="15.75" customHeight="1">
      <c r="A123" s="5">
        <v>46297.61844958333</v>
      </c>
      <c r="B123" s="6">
        <v>46297.0</v>
      </c>
      <c r="C123" s="7" t="s">
        <v>317</v>
      </c>
      <c r="D123" s="7" t="s">
        <v>318</v>
      </c>
      <c r="E123" s="7" t="s">
        <v>45</v>
      </c>
      <c r="F123" s="7" t="s">
        <v>25</v>
      </c>
      <c r="G123" s="13" t="s">
        <v>40</v>
      </c>
      <c r="H123" s="10" t="s">
        <v>27</v>
      </c>
      <c r="I123" s="10" t="s">
        <v>28</v>
      </c>
      <c r="J123" s="16">
        <v>46297.479166666664</v>
      </c>
      <c r="K123" s="7" t="s">
        <v>55</v>
      </c>
      <c r="P123" s="7" t="s">
        <v>30</v>
      </c>
      <c r="Q123" s="7" t="s">
        <v>42</v>
      </c>
      <c r="R123" s="7" t="s">
        <v>49</v>
      </c>
    </row>
    <row r="124" ht="16.5" customHeight="1">
      <c r="A124" s="5">
        <v>46297.6190847338</v>
      </c>
      <c r="B124" s="6">
        <v>46297.0</v>
      </c>
      <c r="C124" s="7" t="s">
        <v>319</v>
      </c>
      <c r="D124" s="7" t="s">
        <v>319</v>
      </c>
      <c r="E124" s="7" t="s">
        <v>24</v>
      </c>
      <c r="F124" s="7" t="s">
        <v>25</v>
      </c>
      <c r="G124" s="13" t="s">
        <v>26</v>
      </c>
      <c r="H124" s="10" t="s">
        <v>27</v>
      </c>
      <c r="I124" s="10" t="s">
        <v>28</v>
      </c>
      <c r="J124" s="18">
        <f>IF(I124="Terminado", IF(J124="", NOW(), J124), "")</f>
        <v>46297.62056</v>
      </c>
      <c r="K124" s="7" t="s">
        <v>55</v>
      </c>
      <c r="P124" s="7" t="s">
        <v>30</v>
      </c>
      <c r="Q124" s="7" t="s">
        <v>26</v>
      </c>
      <c r="R124" s="7" t="s">
        <v>52</v>
      </c>
    </row>
    <row r="125" ht="15.75" customHeight="1">
      <c r="A125" s="5">
        <v>46301.34373688657</v>
      </c>
      <c r="B125" s="6">
        <v>46301.0</v>
      </c>
      <c r="C125" s="7" t="s">
        <v>72</v>
      </c>
      <c r="D125" s="7" t="s">
        <v>72</v>
      </c>
      <c r="E125" s="7" t="s">
        <v>133</v>
      </c>
      <c r="F125" s="7" t="s">
        <v>25</v>
      </c>
      <c r="G125" s="13" t="s">
        <v>26</v>
      </c>
      <c r="H125" s="10" t="s">
        <v>27</v>
      </c>
      <c r="I125" s="10" t="s">
        <v>28</v>
      </c>
      <c r="J125" s="12">
        <v>46301.0</v>
      </c>
      <c r="K125" s="7" t="s">
        <v>46</v>
      </c>
      <c r="P125" s="7" t="s">
        <v>30</v>
      </c>
      <c r="Q125" s="7" t="s">
        <v>26</v>
      </c>
      <c r="R125" s="7" t="s">
        <v>52</v>
      </c>
    </row>
    <row r="126" ht="16.5" customHeight="1">
      <c r="A126" s="5">
        <v>46301.40733149306</v>
      </c>
      <c r="B126" s="6">
        <v>46302.0</v>
      </c>
      <c r="C126" s="7" t="s">
        <v>320</v>
      </c>
      <c r="D126" s="7" t="s">
        <v>321</v>
      </c>
      <c r="E126" s="7" t="s">
        <v>24</v>
      </c>
      <c r="F126" s="7" t="s">
        <v>25</v>
      </c>
      <c r="G126" s="13" t="s">
        <v>40</v>
      </c>
      <c r="H126" s="10" t="s">
        <v>27</v>
      </c>
      <c r="I126" s="10" t="s">
        <v>28</v>
      </c>
      <c r="J126" s="18">
        <f t="shared" ref="J126:J140" si="18">IF(I126="Terminado", IF(J126="", NOW(), J126), "")</f>
        <v>46303.45861</v>
      </c>
      <c r="K126" s="7" t="s">
        <v>163</v>
      </c>
      <c r="P126" s="7" t="s">
        <v>30</v>
      </c>
      <c r="Q126" s="7" t="s">
        <v>42</v>
      </c>
      <c r="R126" s="7" t="s">
        <v>286</v>
      </c>
    </row>
    <row r="127" ht="13.5" customHeight="1">
      <c r="A127" s="5">
        <v>46301.40868905092</v>
      </c>
      <c r="B127" s="6">
        <v>46302.0</v>
      </c>
      <c r="C127" s="7" t="s">
        <v>322</v>
      </c>
      <c r="D127" s="7" t="s">
        <v>323</v>
      </c>
      <c r="E127" s="7" t="s">
        <v>24</v>
      </c>
      <c r="F127" s="7" t="s">
        <v>25</v>
      </c>
      <c r="G127" s="13" t="s">
        <v>40</v>
      </c>
      <c r="H127" s="10" t="s">
        <v>27</v>
      </c>
      <c r="I127" s="10" t="s">
        <v>28</v>
      </c>
      <c r="J127" s="18">
        <f t="shared" si="18"/>
        <v>46303.45869</v>
      </c>
      <c r="K127" s="7" t="s">
        <v>163</v>
      </c>
      <c r="P127" s="7" t="s">
        <v>30</v>
      </c>
      <c r="Q127" s="7" t="s">
        <v>42</v>
      </c>
      <c r="R127" s="7" t="s">
        <v>286</v>
      </c>
    </row>
    <row r="128" ht="13.5" customHeight="1">
      <c r="A128" s="5">
        <v>46301.410943738425</v>
      </c>
      <c r="B128" s="6">
        <v>46302.0</v>
      </c>
      <c r="C128" s="7" t="s">
        <v>324</v>
      </c>
      <c r="D128" s="7" t="s">
        <v>325</v>
      </c>
      <c r="E128" s="7" t="s">
        <v>24</v>
      </c>
      <c r="F128" s="7" t="s">
        <v>25</v>
      </c>
      <c r="G128" s="13" t="s">
        <v>40</v>
      </c>
      <c r="H128" s="10" t="s">
        <v>27</v>
      </c>
      <c r="I128" s="10" t="s">
        <v>28</v>
      </c>
      <c r="J128" s="18">
        <f t="shared" si="18"/>
        <v>46303.45871</v>
      </c>
      <c r="K128" s="7" t="s">
        <v>163</v>
      </c>
      <c r="P128" s="7" t="s">
        <v>30</v>
      </c>
      <c r="Q128" s="7" t="s">
        <v>42</v>
      </c>
      <c r="R128" s="7" t="s">
        <v>286</v>
      </c>
    </row>
    <row r="129" ht="15.0" customHeight="1">
      <c r="A129" s="5">
        <v>46301.702483726855</v>
      </c>
      <c r="B129" s="6">
        <v>46309.0</v>
      </c>
      <c r="C129" s="7" t="s">
        <v>326</v>
      </c>
      <c r="D129" s="8" t="s">
        <v>327</v>
      </c>
      <c r="E129" s="7" t="s">
        <v>58</v>
      </c>
      <c r="F129" s="7" t="s">
        <v>25</v>
      </c>
      <c r="G129" s="13" t="s">
        <v>26</v>
      </c>
      <c r="H129" s="10" t="s">
        <v>27</v>
      </c>
      <c r="I129" s="10" t="s">
        <v>28</v>
      </c>
      <c r="J129" s="18">
        <f t="shared" si="18"/>
        <v>46310.44951</v>
      </c>
      <c r="K129" s="7" t="s">
        <v>29</v>
      </c>
      <c r="N129" s="7" t="s">
        <v>30</v>
      </c>
      <c r="P129" s="7" t="s">
        <v>30</v>
      </c>
      <c r="Q129" s="7" t="s">
        <v>26</v>
      </c>
      <c r="R129" s="7" t="s">
        <v>52</v>
      </c>
    </row>
    <row r="130" ht="18.0" customHeight="1">
      <c r="A130" s="5">
        <v>46302.35008888889</v>
      </c>
      <c r="B130" s="6">
        <v>46301.0</v>
      </c>
      <c r="C130" s="7" t="s">
        <v>60</v>
      </c>
      <c r="D130" s="7" t="s">
        <v>60</v>
      </c>
      <c r="E130" s="7" t="s">
        <v>328</v>
      </c>
      <c r="F130" s="7" t="s">
        <v>25</v>
      </c>
      <c r="G130" s="17" t="s">
        <v>134</v>
      </c>
      <c r="H130" s="10" t="s">
        <v>27</v>
      </c>
      <c r="I130" s="10" t="s">
        <v>28</v>
      </c>
      <c r="J130" s="11">
        <f t="shared" si="18"/>
        <v>0</v>
      </c>
      <c r="K130" s="7" t="s">
        <v>55</v>
      </c>
      <c r="P130" s="7" t="s">
        <v>30</v>
      </c>
      <c r="Q130" s="7" t="s">
        <v>26</v>
      </c>
      <c r="R130" s="7" t="s">
        <v>49</v>
      </c>
    </row>
    <row r="131" ht="17.25" customHeight="1">
      <c r="A131" s="5">
        <v>46293.38710435185</v>
      </c>
      <c r="B131" s="6">
        <v>46315.0</v>
      </c>
      <c r="C131" s="7" t="s">
        <v>329</v>
      </c>
      <c r="D131" s="28" t="s">
        <v>330</v>
      </c>
      <c r="E131" s="7" t="s">
        <v>87</v>
      </c>
      <c r="F131" s="7" t="s">
        <v>25</v>
      </c>
      <c r="G131" s="13" t="s">
        <v>331</v>
      </c>
      <c r="H131" s="10" t="s">
        <v>27</v>
      </c>
      <c r="I131" s="10" t="s">
        <v>28</v>
      </c>
      <c r="J131" s="18">
        <f t="shared" si="18"/>
        <v>46314.60468</v>
      </c>
      <c r="K131" s="7" t="s">
        <v>29</v>
      </c>
      <c r="N131" s="7" t="s">
        <v>65</v>
      </c>
      <c r="P131" s="7" t="s">
        <v>30</v>
      </c>
      <c r="Q131" s="7" t="s">
        <v>331</v>
      </c>
      <c r="R131" s="7" t="s">
        <v>49</v>
      </c>
    </row>
    <row r="132" ht="15.0" customHeight="1">
      <c r="A132" s="5">
        <v>46304.362138344906</v>
      </c>
      <c r="B132" s="6">
        <v>46304.0</v>
      </c>
      <c r="C132" s="7" t="s">
        <v>332</v>
      </c>
      <c r="D132" s="7" t="s">
        <v>333</v>
      </c>
      <c r="E132" s="7" t="s">
        <v>178</v>
      </c>
      <c r="F132" s="7" t="s">
        <v>25</v>
      </c>
      <c r="G132" s="13" t="s">
        <v>127</v>
      </c>
      <c r="H132" s="10" t="s">
        <v>27</v>
      </c>
      <c r="I132" s="10" t="s">
        <v>28</v>
      </c>
      <c r="J132" s="18">
        <f t="shared" si="18"/>
        <v>46308.36191</v>
      </c>
      <c r="K132" s="7" t="s">
        <v>243</v>
      </c>
      <c r="P132" s="7" t="s">
        <v>30</v>
      </c>
      <c r="Q132" s="7" t="s">
        <v>127</v>
      </c>
      <c r="R132" s="7" t="s">
        <v>52</v>
      </c>
    </row>
    <row r="133">
      <c r="A133" s="5">
        <v>46304.40216008102</v>
      </c>
      <c r="B133" s="6">
        <v>46304.0</v>
      </c>
      <c r="C133" s="7" t="s">
        <v>72</v>
      </c>
      <c r="D133" s="7" t="s">
        <v>72</v>
      </c>
      <c r="E133" s="7" t="s">
        <v>93</v>
      </c>
      <c r="F133" s="7" t="s">
        <v>25</v>
      </c>
      <c r="G133" s="13" t="s">
        <v>26</v>
      </c>
      <c r="H133" s="10" t="s">
        <v>27</v>
      </c>
      <c r="I133" s="10" t="s">
        <v>28</v>
      </c>
      <c r="J133" s="18">
        <f t="shared" si="18"/>
        <v>46304.49137</v>
      </c>
      <c r="K133" s="7" t="s">
        <v>46</v>
      </c>
      <c r="P133" s="7" t="s">
        <v>30</v>
      </c>
      <c r="Q133" s="7" t="s">
        <v>26</v>
      </c>
      <c r="R133" s="7" t="s">
        <v>52</v>
      </c>
    </row>
    <row r="134" ht="15.0" customHeight="1">
      <c r="A134" s="5">
        <v>46304.490467361116</v>
      </c>
      <c r="B134" s="6">
        <v>46316.0</v>
      </c>
      <c r="C134" s="7" t="s">
        <v>334</v>
      </c>
      <c r="D134" s="27" t="s">
        <v>335</v>
      </c>
      <c r="E134" s="7" t="s">
        <v>58</v>
      </c>
      <c r="F134" s="7" t="s">
        <v>25</v>
      </c>
      <c r="G134" s="13" t="s">
        <v>26</v>
      </c>
      <c r="H134" s="10" t="s">
        <v>27</v>
      </c>
      <c r="I134" s="10" t="s">
        <v>336</v>
      </c>
      <c r="J134" s="11" t="str">
        <f t="shared" si="18"/>
        <v/>
      </c>
      <c r="K134" s="7" t="s">
        <v>29</v>
      </c>
      <c r="N134" s="7" t="s">
        <v>30</v>
      </c>
      <c r="P134" s="7" t="s">
        <v>30</v>
      </c>
      <c r="Q134" s="7" t="s">
        <v>26</v>
      </c>
      <c r="R134" s="7" t="s">
        <v>52</v>
      </c>
    </row>
    <row r="135">
      <c r="A135" s="5">
        <v>46303.48641563657</v>
      </c>
      <c r="B135" s="6">
        <v>46318.0</v>
      </c>
      <c r="C135" s="7" t="s">
        <v>337</v>
      </c>
      <c r="D135" s="27" t="s">
        <v>250</v>
      </c>
      <c r="E135" s="7" t="s">
        <v>39</v>
      </c>
      <c r="F135" s="7" t="s">
        <v>25</v>
      </c>
      <c r="G135" s="13" t="s">
        <v>26</v>
      </c>
      <c r="H135" s="10" t="s">
        <v>27</v>
      </c>
      <c r="I135" s="10" t="s">
        <v>336</v>
      </c>
      <c r="J135" s="11" t="str">
        <f t="shared" si="18"/>
        <v/>
      </c>
      <c r="K135" s="7" t="s">
        <v>29</v>
      </c>
      <c r="N135" s="7" t="s">
        <v>30</v>
      </c>
      <c r="P135" s="7" t="s">
        <v>30</v>
      </c>
      <c r="Q135" s="7" t="s">
        <v>26</v>
      </c>
      <c r="R135" s="7" t="s">
        <v>52</v>
      </c>
    </row>
    <row r="136">
      <c r="A136" s="5">
        <v>46308.409490729166</v>
      </c>
      <c r="B136" s="6">
        <v>46308.0</v>
      </c>
      <c r="C136" s="7" t="s">
        <v>72</v>
      </c>
      <c r="D136" s="8" t="s">
        <v>338</v>
      </c>
      <c r="E136" s="7" t="s">
        <v>93</v>
      </c>
      <c r="F136" s="7" t="s">
        <v>25</v>
      </c>
      <c r="G136" s="13" t="s">
        <v>26</v>
      </c>
      <c r="H136" s="10" t="s">
        <v>27</v>
      </c>
      <c r="I136" s="10" t="s">
        <v>28</v>
      </c>
      <c r="J136" s="18">
        <f t="shared" si="18"/>
        <v>46308.66983</v>
      </c>
      <c r="K136" s="7" t="s">
        <v>46</v>
      </c>
      <c r="P136" s="7" t="s">
        <v>30</v>
      </c>
      <c r="Q136" s="7" t="s">
        <v>26</v>
      </c>
      <c r="R136" s="7" t="s">
        <v>52</v>
      </c>
    </row>
    <row r="137" ht="15.75" customHeight="1">
      <c r="A137" s="5">
        <v>46308.452436990745</v>
      </c>
      <c r="B137" s="6">
        <v>46308.0</v>
      </c>
      <c r="C137" s="7" t="s">
        <v>60</v>
      </c>
      <c r="D137" s="8" t="s">
        <v>339</v>
      </c>
      <c r="E137" s="7" t="s">
        <v>340</v>
      </c>
      <c r="F137" s="7" t="s">
        <v>25</v>
      </c>
      <c r="G137" s="13" t="s">
        <v>26</v>
      </c>
      <c r="H137" s="10" t="s">
        <v>27</v>
      </c>
      <c r="I137" s="10" t="s">
        <v>28</v>
      </c>
      <c r="J137" s="18">
        <f t="shared" si="18"/>
        <v>46308.66985</v>
      </c>
      <c r="K137" s="7" t="s">
        <v>55</v>
      </c>
      <c r="P137" s="7" t="s">
        <v>30</v>
      </c>
      <c r="Q137" s="7" t="s">
        <v>26</v>
      </c>
      <c r="R137" s="7" t="s">
        <v>52</v>
      </c>
    </row>
    <row r="138">
      <c r="A138" s="5">
        <v>46308.672676319446</v>
      </c>
      <c r="B138" s="6">
        <v>46308.0</v>
      </c>
      <c r="C138" s="7" t="s">
        <v>53</v>
      </c>
      <c r="D138" s="7" t="s">
        <v>53</v>
      </c>
      <c r="E138" s="7" t="s">
        <v>340</v>
      </c>
      <c r="F138" s="7" t="s">
        <v>25</v>
      </c>
      <c r="G138" s="13" t="s">
        <v>26</v>
      </c>
      <c r="H138" s="10" t="s">
        <v>27</v>
      </c>
      <c r="I138" s="10" t="s">
        <v>28</v>
      </c>
      <c r="J138" s="18">
        <f t="shared" si="18"/>
        <v>46309.50012</v>
      </c>
      <c r="K138" s="7" t="s">
        <v>55</v>
      </c>
      <c r="P138" s="7" t="s">
        <v>30</v>
      </c>
      <c r="Q138" s="7" t="s">
        <v>26</v>
      </c>
      <c r="R138" s="7" t="s">
        <v>52</v>
      </c>
    </row>
    <row r="139">
      <c r="A139" s="5">
        <v>46308.36595075231</v>
      </c>
      <c r="B139" s="6">
        <v>46318.0</v>
      </c>
      <c r="C139" s="7" t="s">
        <v>341</v>
      </c>
      <c r="D139" s="27" t="s">
        <v>342</v>
      </c>
      <c r="E139" s="7" t="s">
        <v>39</v>
      </c>
      <c r="F139" s="7" t="s">
        <v>25</v>
      </c>
      <c r="G139" s="13" t="s">
        <v>26</v>
      </c>
      <c r="H139" s="10" t="s">
        <v>27</v>
      </c>
      <c r="I139" s="10" t="s">
        <v>343</v>
      </c>
      <c r="J139" s="11" t="str">
        <f t="shared" si="18"/>
        <v/>
      </c>
      <c r="K139" s="7" t="s">
        <v>29</v>
      </c>
      <c r="N139" s="7" t="s">
        <v>30</v>
      </c>
      <c r="P139" s="7" t="s">
        <v>30</v>
      </c>
      <c r="Q139" s="7" t="s">
        <v>26</v>
      </c>
      <c r="R139" s="7" t="s">
        <v>49</v>
      </c>
    </row>
    <row r="140">
      <c r="A140" s="5">
        <v>46309.527587662036</v>
      </c>
      <c r="B140" s="6">
        <v>46322.0</v>
      </c>
      <c r="C140" s="7" t="s">
        <v>344</v>
      </c>
      <c r="D140" s="27" t="s">
        <v>345</v>
      </c>
      <c r="E140" s="7" t="s">
        <v>346</v>
      </c>
      <c r="F140" s="7" t="s">
        <v>347</v>
      </c>
      <c r="G140" s="13" t="s">
        <v>26</v>
      </c>
      <c r="H140" s="10" t="s">
        <v>27</v>
      </c>
      <c r="I140" s="10" t="s">
        <v>28</v>
      </c>
      <c r="J140" s="18">
        <f t="shared" si="18"/>
        <v>46318.45326</v>
      </c>
      <c r="K140" s="7" t="s">
        <v>29</v>
      </c>
      <c r="N140" s="7" t="s">
        <v>30</v>
      </c>
      <c r="P140" s="7" t="s">
        <v>30</v>
      </c>
      <c r="Q140" s="7" t="s">
        <v>26</v>
      </c>
      <c r="R140" s="7" t="s">
        <v>49</v>
      </c>
    </row>
    <row r="141">
      <c r="A141" s="5">
        <v>46310.616126354165</v>
      </c>
      <c r="B141" s="6">
        <v>46310.0</v>
      </c>
      <c r="C141" s="7" t="s">
        <v>348</v>
      </c>
      <c r="D141" s="7" t="s">
        <v>349</v>
      </c>
      <c r="E141" s="7" t="s">
        <v>108</v>
      </c>
      <c r="F141" s="7" t="s">
        <v>25</v>
      </c>
      <c r="G141" s="13" t="s">
        <v>40</v>
      </c>
      <c r="H141" s="10" t="s">
        <v>27</v>
      </c>
      <c r="I141" s="10" t="s">
        <v>28</v>
      </c>
      <c r="J141" s="12">
        <v>46310.0</v>
      </c>
      <c r="K141" s="7" t="s">
        <v>29</v>
      </c>
      <c r="L141" s="7" t="s">
        <v>350</v>
      </c>
      <c r="N141" s="7" t="s">
        <v>119</v>
      </c>
      <c r="P141" s="7" t="s">
        <v>30</v>
      </c>
      <c r="Q141" s="7" t="s">
        <v>42</v>
      </c>
      <c r="R141" s="7" t="s">
        <v>49</v>
      </c>
    </row>
    <row r="142" ht="16.5" customHeight="1">
      <c r="A142" s="5">
        <v>46315.43421399305</v>
      </c>
      <c r="B142" s="6">
        <v>46315.0</v>
      </c>
      <c r="C142" s="7" t="s">
        <v>351</v>
      </c>
      <c r="D142" s="7" t="s">
        <v>352</v>
      </c>
      <c r="E142" s="7" t="s">
        <v>87</v>
      </c>
      <c r="F142" s="7" t="s">
        <v>25</v>
      </c>
      <c r="G142" s="13" t="s">
        <v>242</v>
      </c>
      <c r="H142" s="10" t="s">
        <v>27</v>
      </c>
      <c r="I142" s="10" t="s">
        <v>28</v>
      </c>
      <c r="J142" s="12">
        <v>46315.0</v>
      </c>
      <c r="K142" s="7" t="s">
        <v>29</v>
      </c>
      <c r="N142" s="7" t="s">
        <v>65</v>
      </c>
      <c r="P142" s="7" t="s">
        <v>30</v>
      </c>
      <c r="Q142" s="7" t="s">
        <v>42</v>
      </c>
      <c r="R142" s="7" t="s">
        <v>49</v>
      </c>
    </row>
    <row r="143">
      <c r="A143" s="29">
        <v>46210.0</v>
      </c>
      <c r="B143" s="30">
        <v>46216.0</v>
      </c>
      <c r="C143" s="31" t="s">
        <v>353</v>
      </c>
      <c r="D143" s="32" t="s">
        <v>354</v>
      </c>
      <c r="E143" s="31" t="s">
        <v>79</v>
      </c>
      <c r="F143" s="31" t="s">
        <v>347</v>
      </c>
      <c r="G143" s="33" t="s">
        <v>40</v>
      </c>
      <c r="H143" s="10" t="s">
        <v>27</v>
      </c>
      <c r="I143" s="34" t="s">
        <v>41</v>
      </c>
      <c r="J143" s="11" t="str">
        <f t="shared" ref="J143:J157" si="19">IF(I143="Terminado", IF(J143="", NOW(), J143), "")</f>
        <v/>
      </c>
      <c r="K143" s="31" t="s">
        <v>29</v>
      </c>
      <c r="L143" s="31" t="s">
        <v>355</v>
      </c>
      <c r="M143" s="35"/>
      <c r="N143" s="31" t="s">
        <v>30</v>
      </c>
      <c r="O143" s="36"/>
      <c r="P143" s="31" t="s">
        <v>30</v>
      </c>
      <c r="Q143" s="31" t="s">
        <v>42</v>
      </c>
      <c r="R143" s="36"/>
      <c r="S143" s="35"/>
      <c r="T143" s="35"/>
      <c r="U143" s="35"/>
      <c r="V143" s="35"/>
    </row>
    <row r="144">
      <c r="A144" s="14">
        <v>46213.0</v>
      </c>
      <c r="B144" s="6">
        <v>46218.0</v>
      </c>
      <c r="C144" s="7" t="s">
        <v>356</v>
      </c>
      <c r="D144" s="8" t="s">
        <v>357</v>
      </c>
      <c r="E144" s="7" t="s">
        <v>79</v>
      </c>
      <c r="F144" s="7" t="s">
        <v>347</v>
      </c>
      <c r="G144" s="9" t="s">
        <v>40</v>
      </c>
      <c r="H144" s="10" t="s">
        <v>27</v>
      </c>
      <c r="I144" s="10" t="s">
        <v>28</v>
      </c>
      <c r="J144" s="11">
        <f t="shared" si="19"/>
        <v>46224.53933</v>
      </c>
      <c r="K144" s="7" t="s">
        <v>29</v>
      </c>
      <c r="L144" s="7" t="s">
        <v>358</v>
      </c>
      <c r="N144" s="7" t="s">
        <v>30</v>
      </c>
      <c r="O144" s="37"/>
      <c r="P144" s="7" t="s">
        <v>30</v>
      </c>
      <c r="Q144" s="7" t="s">
        <v>42</v>
      </c>
      <c r="R144" s="37"/>
    </row>
    <row r="145">
      <c r="A145" s="14">
        <v>46213.0</v>
      </c>
      <c r="B145" s="6">
        <v>46218.0</v>
      </c>
      <c r="C145" s="7" t="s">
        <v>359</v>
      </c>
      <c r="D145" s="8" t="s">
        <v>354</v>
      </c>
      <c r="E145" s="7" t="s">
        <v>39</v>
      </c>
      <c r="F145" s="7" t="s">
        <v>347</v>
      </c>
      <c r="G145" s="9" t="s">
        <v>40</v>
      </c>
      <c r="H145" s="10" t="s">
        <v>27</v>
      </c>
      <c r="I145" s="10" t="s">
        <v>41</v>
      </c>
      <c r="J145" s="11" t="str">
        <f t="shared" si="19"/>
        <v/>
      </c>
      <c r="K145" s="7" t="s">
        <v>29</v>
      </c>
      <c r="L145" s="8" t="s">
        <v>360</v>
      </c>
      <c r="N145" s="7" t="s">
        <v>30</v>
      </c>
      <c r="O145" s="37"/>
      <c r="P145" s="7" t="s">
        <v>30</v>
      </c>
      <c r="Q145" s="7" t="s">
        <v>42</v>
      </c>
      <c r="R145" s="37"/>
    </row>
    <row r="146">
      <c r="A146" s="5">
        <v>46217.47194297454</v>
      </c>
      <c r="B146" s="6">
        <v>46276.0</v>
      </c>
      <c r="C146" s="7" t="s">
        <v>176</v>
      </c>
      <c r="D146" s="8" t="s">
        <v>361</v>
      </c>
      <c r="E146" s="7" t="s">
        <v>178</v>
      </c>
      <c r="F146" s="7" t="s">
        <v>347</v>
      </c>
      <c r="G146" s="9" t="s">
        <v>26</v>
      </c>
      <c r="H146" s="10" t="s">
        <v>27</v>
      </c>
      <c r="I146" s="10" t="s">
        <v>41</v>
      </c>
      <c r="J146" s="11" t="str">
        <f t="shared" si="19"/>
        <v/>
      </c>
      <c r="K146" s="7" t="s">
        <v>29</v>
      </c>
      <c r="N146" s="7" t="s">
        <v>30</v>
      </c>
      <c r="P146" s="7" t="s">
        <v>30</v>
      </c>
      <c r="Q146" s="7" t="s">
        <v>26</v>
      </c>
    </row>
    <row r="147">
      <c r="A147" s="14">
        <v>46211.0</v>
      </c>
      <c r="B147" s="6">
        <v>46217.0</v>
      </c>
      <c r="C147" s="7" t="s">
        <v>362</v>
      </c>
      <c r="D147" s="8" t="s">
        <v>363</v>
      </c>
      <c r="E147" s="7" t="s">
        <v>137</v>
      </c>
      <c r="F147" s="7" t="s">
        <v>347</v>
      </c>
      <c r="G147" s="9" t="s">
        <v>40</v>
      </c>
      <c r="H147" s="10" t="s">
        <v>27</v>
      </c>
      <c r="I147" s="10" t="s">
        <v>28</v>
      </c>
      <c r="J147" s="11">
        <f t="shared" si="19"/>
        <v>46217.55296</v>
      </c>
      <c r="K147" s="7" t="s">
        <v>29</v>
      </c>
      <c r="L147" s="8" t="s">
        <v>364</v>
      </c>
      <c r="N147" s="7" t="s">
        <v>30</v>
      </c>
      <c r="O147" s="37"/>
      <c r="P147" s="7" t="s">
        <v>30</v>
      </c>
      <c r="Q147" s="7" t="s">
        <v>42</v>
      </c>
      <c r="R147" s="37"/>
    </row>
    <row r="148" ht="15.75" customHeight="1">
      <c r="A148" s="5">
        <v>46217.572398668985</v>
      </c>
      <c r="B148" s="6">
        <v>46217.0</v>
      </c>
      <c r="C148" s="15" t="s">
        <v>365</v>
      </c>
      <c r="D148" s="7" t="s">
        <v>366</v>
      </c>
      <c r="E148" s="7" t="s">
        <v>367</v>
      </c>
      <c r="F148" s="7" t="s">
        <v>347</v>
      </c>
      <c r="G148" s="9" t="s">
        <v>242</v>
      </c>
      <c r="H148" s="10" t="s">
        <v>27</v>
      </c>
      <c r="I148" s="10" t="s">
        <v>41</v>
      </c>
      <c r="J148" s="11" t="str">
        <f t="shared" si="19"/>
        <v/>
      </c>
      <c r="K148" s="7" t="s">
        <v>29</v>
      </c>
      <c r="N148" s="7" t="s">
        <v>65</v>
      </c>
      <c r="P148" s="7" t="s">
        <v>30</v>
      </c>
      <c r="Q148" s="7" t="s">
        <v>242</v>
      </c>
    </row>
    <row r="149">
      <c r="A149" s="14">
        <v>46211.0</v>
      </c>
      <c r="B149" s="6">
        <v>46217.0</v>
      </c>
      <c r="C149" s="7" t="s">
        <v>368</v>
      </c>
      <c r="D149" s="8" t="s">
        <v>369</v>
      </c>
      <c r="E149" s="7" t="s">
        <v>137</v>
      </c>
      <c r="F149" s="7" t="s">
        <v>347</v>
      </c>
      <c r="G149" s="13" t="s">
        <v>40</v>
      </c>
      <c r="H149" s="10" t="s">
        <v>27</v>
      </c>
      <c r="I149" s="10" t="s">
        <v>28</v>
      </c>
      <c r="J149" s="11">
        <f t="shared" si="19"/>
        <v>46217.58636</v>
      </c>
      <c r="K149" s="7" t="s">
        <v>29</v>
      </c>
      <c r="L149" s="8" t="s">
        <v>370</v>
      </c>
      <c r="N149" s="7" t="s">
        <v>30</v>
      </c>
      <c r="O149" s="37"/>
      <c r="P149" s="7" t="s">
        <v>30</v>
      </c>
      <c r="Q149" s="7" t="s">
        <v>42</v>
      </c>
      <c r="R149" s="37"/>
    </row>
    <row r="150" ht="15.75" customHeight="1">
      <c r="A150" s="5">
        <v>46217.58259428241</v>
      </c>
      <c r="B150" s="6">
        <v>46220.0</v>
      </c>
      <c r="C150" s="7" t="s">
        <v>371</v>
      </c>
      <c r="D150" s="8" t="s">
        <v>372</v>
      </c>
      <c r="E150" s="7" t="s">
        <v>373</v>
      </c>
      <c r="F150" s="7" t="s">
        <v>347</v>
      </c>
      <c r="G150" s="13" t="s">
        <v>40</v>
      </c>
      <c r="H150" s="10" t="s">
        <v>27</v>
      </c>
      <c r="I150" s="10" t="s">
        <v>41</v>
      </c>
      <c r="J150" s="11" t="str">
        <f t="shared" si="19"/>
        <v/>
      </c>
      <c r="K150" s="7" t="s">
        <v>29</v>
      </c>
      <c r="N150" s="7" t="s">
        <v>30</v>
      </c>
      <c r="P150" s="7" t="s">
        <v>30</v>
      </c>
      <c r="Q150" s="7" t="s">
        <v>42</v>
      </c>
    </row>
    <row r="151">
      <c r="A151" s="5">
        <v>46217.6598334375</v>
      </c>
      <c r="B151" s="6">
        <v>46221.0</v>
      </c>
      <c r="C151" s="7" t="s">
        <v>374</v>
      </c>
      <c r="D151" s="7" t="s">
        <v>375</v>
      </c>
      <c r="E151" s="7" t="s">
        <v>178</v>
      </c>
      <c r="F151" s="7" t="s">
        <v>347</v>
      </c>
      <c r="G151" s="13" t="s">
        <v>293</v>
      </c>
      <c r="H151" s="10" t="s">
        <v>27</v>
      </c>
      <c r="I151" s="10" t="s">
        <v>41</v>
      </c>
      <c r="J151" s="11" t="str">
        <f t="shared" si="19"/>
        <v/>
      </c>
      <c r="K151" s="7" t="s">
        <v>29</v>
      </c>
      <c r="N151" s="7" t="s">
        <v>119</v>
      </c>
      <c r="P151" s="7" t="s">
        <v>30</v>
      </c>
      <c r="Q151" s="7" t="s">
        <v>293</v>
      </c>
    </row>
    <row r="152" ht="18.0" customHeight="1">
      <c r="A152" s="5">
        <v>46219.39213739583</v>
      </c>
      <c r="B152" s="6">
        <v>46220.0</v>
      </c>
      <c r="C152" s="7" t="s">
        <v>362</v>
      </c>
      <c r="D152" s="8" t="s">
        <v>372</v>
      </c>
      <c r="E152" s="7" t="s">
        <v>58</v>
      </c>
      <c r="F152" s="7" t="s">
        <v>347</v>
      </c>
      <c r="G152" s="13" t="s">
        <v>40</v>
      </c>
      <c r="H152" s="10" t="s">
        <v>27</v>
      </c>
      <c r="I152" s="10" t="s">
        <v>28</v>
      </c>
      <c r="J152" s="11">
        <f t="shared" si="19"/>
        <v>46220.67527</v>
      </c>
      <c r="K152" s="7" t="s">
        <v>29</v>
      </c>
      <c r="L152" s="26" t="s">
        <v>376</v>
      </c>
      <c r="N152" s="7" t="s">
        <v>30</v>
      </c>
      <c r="O152" s="38"/>
      <c r="P152" s="7" t="s">
        <v>30</v>
      </c>
      <c r="Q152" s="7" t="s">
        <v>42</v>
      </c>
      <c r="R152" s="38"/>
    </row>
    <row r="153">
      <c r="A153" s="5">
        <v>46219.68031462963</v>
      </c>
      <c r="B153" s="6">
        <v>46220.0</v>
      </c>
      <c r="C153" s="7" t="s">
        <v>294</v>
      </c>
      <c r="D153" s="7" t="s">
        <v>377</v>
      </c>
      <c r="E153" s="7" t="s">
        <v>45</v>
      </c>
      <c r="F153" s="7" t="s">
        <v>347</v>
      </c>
      <c r="G153" s="13" t="s">
        <v>40</v>
      </c>
      <c r="H153" s="10" t="s">
        <v>27</v>
      </c>
      <c r="I153" s="10" t="s">
        <v>28</v>
      </c>
      <c r="J153" s="11">
        <f t="shared" si="19"/>
        <v>46220.41758</v>
      </c>
      <c r="K153" s="7" t="s">
        <v>55</v>
      </c>
      <c r="L153" s="8" t="s">
        <v>378</v>
      </c>
      <c r="O153" s="37"/>
      <c r="P153" s="7" t="s">
        <v>30</v>
      </c>
      <c r="Q153" s="7" t="s">
        <v>42</v>
      </c>
      <c r="R153" s="37"/>
    </row>
    <row r="154">
      <c r="A154" s="14">
        <v>46211.0</v>
      </c>
      <c r="B154" s="6">
        <v>46217.0</v>
      </c>
      <c r="C154" s="7" t="s">
        <v>379</v>
      </c>
      <c r="D154" s="8" t="s">
        <v>380</v>
      </c>
      <c r="E154" s="7" t="s">
        <v>137</v>
      </c>
      <c r="F154" s="7" t="s">
        <v>347</v>
      </c>
      <c r="G154" s="13" t="s">
        <v>40</v>
      </c>
      <c r="H154" s="10" t="s">
        <v>27</v>
      </c>
      <c r="I154" s="10" t="s">
        <v>41</v>
      </c>
      <c r="J154" s="11" t="str">
        <f t="shared" si="19"/>
        <v/>
      </c>
      <c r="K154" s="7" t="s">
        <v>29</v>
      </c>
      <c r="L154" s="8" t="s">
        <v>381</v>
      </c>
      <c r="N154" s="7" t="s">
        <v>30</v>
      </c>
      <c r="P154" s="7" t="s">
        <v>30</v>
      </c>
      <c r="Q154" s="7" t="s">
        <v>42</v>
      </c>
      <c r="R154" s="7" t="s">
        <v>49</v>
      </c>
    </row>
    <row r="155">
      <c r="A155" s="5">
        <v>46223.34427652778</v>
      </c>
      <c r="B155" s="6">
        <v>46223.0</v>
      </c>
      <c r="C155" s="7" t="s">
        <v>382</v>
      </c>
      <c r="D155" s="7" t="s">
        <v>383</v>
      </c>
      <c r="E155" s="7" t="s">
        <v>45</v>
      </c>
      <c r="F155" s="7" t="s">
        <v>347</v>
      </c>
      <c r="G155" s="13" t="s">
        <v>40</v>
      </c>
      <c r="H155" s="10" t="s">
        <v>27</v>
      </c>
      <c r="I155" s="10" t="s">
        <v>28</v>
      </c>
      <c r="J155" s="11">
        <f t="shared" si="19"/>
        <v>46223.85192</v>
      </c>
      <c r="K155" s="7" t="s">
        <v>55</v>
      </c>
      <c r="L155" s="8" t="s">
        <v>384</v>
      </c>
      <c r="P155" s="7" t="s">
        <v>30</v>
      </c>
      <c r="Q155" s="7" t="s">
        <v>42</v>
      </c>
      <c r="R155" s="7" t="s">
        <v>52</v>
      </c>
    </row>
    <row r="156">
      <c r="A156" s="5">
        <v>46224.608400219906</v>
      </c>
      <c r="B156" s="6">
        <v>46224.0</v>
      </c>
      <c r="C156" s="7" t="s">
        <v>385</v>
      </c>
      <c r="D156" s="7" t="s">
        <v>386</v>
      </c>
      <c r="E156" s="7" t="s">
        <v>387</v>
      </c>
      <c r="F156" s="7" t="s">
        <v>347</v>
      </c>
      <c r="G156" s="13" t="s">
        <v>40</v>
      </c>
      <c r="H156" s="10" t="s">
        <v>27</v>
      </c>
      <c r="I156" s="10" t="s">
        <v>28</v>
      </c>
      <c r="J156" s="11">
        <f t="shared" si="19"/>
        <v>46227.21966</v>
      </c>
      <c r="K156" s="7" t="s">
        <v>29</v>
      </c>
      <c r="N156" s="7" t="s">
        <v>30</v>
      </c>
      <c r="P156" s="7" t="s">
        <v>30</v>
      </c>
      <c r="Q156" s="7" t="s">
        <v>42</v>
      </c>
      <c r="R156" s="7" t="s">
        <v>388</v>
      </c>
    </row>
    <row r="157">
      <c r="A157" s="5">
        <v>46224.61904472222</v>
      </c>
      <c r="B157" s="6">
        <v>46224.0</v>
      </c>
      <c r="C157" s="7" t="s">
        <v>389</v>
      </c>
      <c r="D157" s="7" t="s">
        <v>390</v>
      </c>
      <c r="F157" s="7" t="s">
        <v>347</v>
      </c>
      <c r="G157" s="13" t="s">
        <v>40</v>
      </c>
      <c r="H157" s="10" t="s">
        <v>27</v>
      </c>
      <c r="I157" s="10" t="s">
        <v>28</v>
      </c>
      <c r="J157" s="11">
        <f t="shared" si="19"/>
        <v>46227.21966</v>
      </c>
      <c r="K157" s="7" t="s">
        <v>391</v>
      </c>
      <c r="L157" s="8" t="s">
        <v>392</v>
      </c>
      <c r="M157" s="7" t="s">
        <v>151</v>
      </c>
      <c r="P157" s="7" t="s">
        <v>130</v>
      </c>
      <c r="Q157" s="7" t="s">
        <v>42</v>
      </c>
      <c r="R157" s="7" t="s">
        <v>90</v>
      </c>
      <c r="U157" s="7" t="s">
        <v>131</v>
      </c>
      <c r="V157" s="7" t="s">
        <v>393</v>
      </c>
    </row>
    <row r="158">
      <c r="A158" s="5">
        <v>46225.43661424769</v>
      </c>
      <c r="B158" s="6">
        <v>46227.0</v>
      </c>
      <c r="C158" s="7" t="s">
        <v>394</v>
      </c>
      <c r="D158" s="7" t="s">
        <v>395</v>
      </c>
      <c r="E158" s="7" t="s">
        <v>137</v>
      </c>
      <c r="F158" s="7" t="s">
        <v>347</v>
      </c>
      <c r="G158" s="13" t="s">
        <v>40</v>
      </c>
      <c r="H158" s="10" t="s">
        <v>27</v>
      </c>
      <c r="I158" s="10" t="s">
        <v>28</v>
      </c>
      <c r="J158" s="12">
        <v>46225.0</v>
      </c>
      <c r="K158" s="7" t="s">
        <v>29</v>
      </c>
      <c r="L158" s="26" t="s">
        <v>396</v>
      </c>
      <c r="N158" s="7" t="s">
        <v>30</v>
      </c>
      <c r="P158" s="7" t="s">
        <v>30</v>
      </c>
      <c r="Q158" s="7" t="s">
        <v>42</v>
      </c>
      <c r="R158" s="7" t="s">
        <v>397</v>
      </c>
    </row>
    <row r="159">
      <c r="A159" s="5">
        <v>46226.366970069445</v>
      </c>
      <c r="B159" s="6">
        <v>46226.0</v>
      </c>
      <c r="C159" s="7" t="s">
        <v>294</v>
      </c>
      <c r="D159" s="7" t="s">
        <v>398</v>
      </c>
      <c r="E159" s="7" t="s">
        <v>45</v>
      </c>
      <c r="F159" s="7" t="s">
        <v>347</v>
      </c>
      <c r="G159" s="13" t="s">
        <v>40</v>
      </c>
      <c r="H159" s="10" t="s">
        <v>27</v>
      </c>
      <c r="I159" s="10" t="s">
        <v>28</v>
      </c>
      <c r="J159" s="12">
        <v>46226.4375</v>
      </c>
      <c r="K159" s="7" t="s">
        <v>55</v>
      </c>
      <c r="P159" s="7" t="s">
        <v>30</v>
      </c>
      <c r="Q159" s="7" t="s">
        <v>42</v>
      </c>
      <c r="R159" s="7" t="s">
        <v>49</v>
      </c>
    </row>
    <row r="160">
      <c r="A160" s="5">
        <v>46226.38094890046</v>
      </c>
      <c r="B160" s="6">
        <v>46237.0</v>
      </c>
      <c r="C160" s="15" t="s">
        <v>399</v>
      </c>
      <c r="D160" s="8" t="s">
        <v>400</v>
      </c>
      <c r="E160" s="7" t="s">
        <v>137</v>
      </c>
      <c r="F160" s="7" t="s">
        <v>347</v>
      </c>
      <c r="G160" s="13" t="s">
        <v>40</v>
      </c>
      <c r="H160" s="10" t="s">
        <v>71</v>
      </c>
      <c r="I160" s="10" t="s">
        <v>28</v>
      </c>
      <c r="J160" s="12">
        <v>46232.0</v>
      </c>
      <c r="K160" s="7" t="s">
        <v>29</v>
      </c>
      <c r="L160" s="8" t="s">
        <v>401</v>
      </c>
      <c r="N160" s="7" t="s">
        <v>30</v>
      </c>
      <c r="P160" s="7" t="s">
        <v>30</v>
      </c>
      <c r="Q160" s="7" t="s">
        <v>42</v>
      </c>
      <c r="R160" s="7" t="s">
        <v>49</v>
      </c>
    </row>
    <row r="161">
      <c r="A161" s="5">
        <v>46226.42847549768</v>
      </c>
      <c r="B161" s="6">
        <v>46226.0</v>
      </c>
      <c r="C161" s="7" t="s">
        <v>219</v>
      </c>
      <c r="D161" s="7" t="s">
        <v>402</v>
      </c>
      <c r="F161" s="7" t="s">
        <v>347</v>
      </c>
      <c r="G161" s="13" t="s">
        <v>112</v>
      </c>
      <c r="H161" s="10" t="s">
        <v>27</v>
      </c>
      <c r="I161" s="10" t="s">
        <v>28</v>
      </c>
      <c r="J161" s="11">
        <f t="shared" ref="J161:J165" si="20">IF(I161="Terminado", IF(J161="", NOW(), J161), "")</f>
        <v>46226.43021</v>
      </c>
      <c r="K161" s="7" t="s">
        <v>29</v>
      </c>
      <c r="M161" s="7" t="s">
        <v>221</v>
      </c>
      <c r="N161" s="7" t="s">
        <v>65</v>
      </c>
      <c r="P161" s="7" t="s">
        <v>130</v>
      </c>
      <c r="Q161" s="7" t="s">
        <v>112</v>
      </c>
      <c r="R161" s="7" t="s">
        <v>52</v>
      </c>
      <c r="U161" s="7" t="s">
        <v>131</v>
      </c>
      <c r="V161" s="7" t="s">
        <v>222</v>
      </c>
    </row>
    <row r="162">
      <c r="A162" s="5">
        <v>46226.51107383102</v>
      </c>
      <c r="B162" s="6">
        <v>46231.0</v>
      </c>
      <c r="C162" s="7" t="s">
        <v>403</v>
      </c>
      <c r="D162" s="7" t="s">
        <v>404</v>
      </c>
      <c r="F162" s="7" t="s">
        <v>347</v>
      </c>
      <c r="G162" s="13" t="s">
        <v>127</v>
      </c>
      <c r="H162" s="10" t="s">
        <v>27</v>
      </c>
      <c r="I162" s="10" t="s">
        <v>28</v>
      </c>
      <c r="J162" s="11">
        <f t="shared" si="20"/>
        <v>46227.21966</v>
      </c>
      <c r="K162" s="7" t="s">
        <v>29</v>
      </c>
      <c r="M162" s="7" t="s">
        <v>128</v>
      </c>
      <c r="N162" s="7" t="s">
        <v>129</v>
      </c>
      <c r="P162" s="7" t="s">
        <v>130</v>
      </c>
      <c r="Q162" s="7" t="s">
        <v>127</v>
      </c>
      <c r="R162" s="7" t="s">
        <v>405</v>
      </c>
      <c r="U162" s="7" t="s">
        <v>152</v>
      </c>
      <c r="V162" s="7" t="s">
        <v>406</v>
      </c>
    </row>
    <row r="163">
      <c r="A163" s="5">
        <v>46230.39601428241</v>
      </c>
      <c r="B163" s="6">
        <v>46230.0</v>
      </c>
      <c r="C163" s="7" t="s">
        <v>407</v>
      </c>
      <c r="D163" s="7" t="s">
        <v>408</v>
      </c>
      <c r="E163" s="7" t="s">
        <v>45</v>
      </c>
      <c r="F163" s="7" t="s">
        <v>347</v>
      </c>
      <c r="G163" s="13" t="s">
        <v>40</v>
      </c>
      <c r="H163" s="10" t="s">
        <v>27</v>
      </c>
      <c r="I163" s="10" t="s">
        <v>28</v>
      </c>
      <c r="J163" s="11">
        <f t="shared" si="20"/>
        <v>46230.59454</v>
      </c>
      <c r="K163" s="7" t="s">
        <v>55</v>
      </c>
      <c r="P163" s="7" t="s">
        <v>30</v>
      </c>
      <c r="Q163" s="7" t="s">
        <v>42</v>
      </c>
      <c r="R163" s="7" t="s">
        <v>49</v>
      </c>
    </row>
    <row r="164">
      <c r="A164" s="5">
        <v>46230.397707384254</v>
      </c>
      <c r="B164" s="6">
        <v>46234.0</v>
      </c>
      <c r="C164" s="15" t="s">
        <v>409</v>
      </c>
      <c r="D164" s="8" t="s">
        <v>410</v>
      </c>
      <c r="E164" s="7" t="s">
        <v>58</v>
      </c>
      <c r="F164" s="7" t="s">
        <v>347</v>
      </c>
      <c r="G164" s="13" t="s">
        <v>40</v>
      </c>
      <c r="H164" s="10" t="s">
        <v>71</v>
      </c>
      <c r="I164" s="10" t="s">
        <v>28</v>
      </c>
      <c r="J164" s="11">
        <f t="shared" si="20"/>
        <v>46234.44939</v>
      </c>
      <c r="K164" s="7" t="s">
        <v>29</v>
      </c>
      <c r="N164" s="7" t="s">
        <v>30</v>
      </c>
      <c r="P164" s="7" t="s">
        <v>30</v>
      </c>
      <c r="Q164" s="7" t="s">
        <v>42</v>
      </c>
      <c r="R164" s="7" t="s">
        <v>90</v>
      </c>
    </row>
    <row r="165">
      <c r="A165" s="5">
        <v>46230.42460099537</v>
      </c>
      <c r="B165" s="6">
        <v>46237.0</v>
      </c>
      <c r="C165" s="15" t="s">
        <v>411</v>
      </c>
      <c r="D165" s="8" t="s">
        <v>412</v>
      </c>
      <c r="E165" s="7" t="s">
        <v>58</v>
      </c>
      <c r="F165" s="7" t="s">
        <v>347</v>
      </c>
      <c r="G165" s="13" t="s">
        <v>40</v>
      </c>
      <c r="H165" s="10" t="s">
        <v>71</v>
      </c>
      <c r="I165" s="10" t="s">
        <v>28</v>
      </c>
      <c r="J165" s="11">
        <f t="shared" si="20"/>
        <v>46238.50423</v>
      </c>
      <c r="K165" s="7" t="s">
        <v>29</v>
      </c>
      <c r="N165" s="7" t="s">
        <v>30</v>
      </c>
      <c r="P165" s="7" t="s">
        <v>30</v>
      </c>
      <c r="Q165" s="7" t="s">
        <v>42</v>
      </c>
      <c r="R165" s="7" t="s">
        <v>90</v>
      </c>
    </row>
    <row r="166">
      <c r="A166" s="5">
        <v>46230.47554670139</v>
      </c>
      <c r="B166" s="6">
        <v>36735.0</v>
      </c>
      <c r="C166" s="7" t="s">
        <v>413</v>
      </c>
      <c r="D166" s="7" t="s">
        <v>414</v>
      </c>
      <c r="F166" s="7" t="s">
        <v>347</v>
      </c>
      <c r="G166" s="13" t="s">
        <v>127</v>
      </c>
      <c r="H166" s="10" t="s">
        <v>27</v>
      </c>
      <c r="I166" s="10" t="s">
        <v>28</v>
      </c>
      <c r="J166" s="12">
        <v>46231.0</v>
      </c>
      <c r="K166" s="7" t="s">
        <v>29</v>
      </c>
      <c r="M166" s="7" t="s">
        <v>128</v>
      </c>
      <c r="N166" s="7" t="s">
        <v>129</v>
      </c>
      <c r="P166" s="7" t="s">
        <v>130</v>
      </c>
      <c r="Q166" s="7" t="s">
        <v>127</v>
      </c>
      <c r="R166" s="7" t="s">
        <v>415</v>
      </c>
      <c r="U166" s="7" t="s">
        <v>152</v>
      </c>
      <c r="V166" s="7" t="s">
        <v>416</v>
      </c>
    </row>
    <row r="167">
      <c r="A167" s="5">
        <v>46231.40336615741</v>
      </c>
      <c r="B167" s="6">
        <v>46234.0</v>
      </c>
      <c r="C167" s="7" t="s">
        <v>417</v>
      </c>
      <c r="D167" s="7" t="s">
        <v>418</v>
      </c>
      <c r="E167" s="7" t="s">
        <v>178</v>
      </c>
      <c r="F167" s="7" t="s">
        <v>347</v>
      </c>
      <c r="G167" s="13" t="s">
        <v>127</v>
      </c>
      <c r="H167" s="10" t="s">
        <v>27</v>
      </c>
      <c r="I167" s="10" t="s">
        <v>28</v>
      </c>
      <c r="J167" s="12">
        <v>46231.0</v>
      </c>
      <c r="K167" s="7" t="s">
        <v>29</v>
      </c>
      <c r="N167" s="7" t="s">
        <v>129</v>
      </c>
      <c r="P167" s="7" t="s">
        <v>66</v>
      </c>
      <c r="Q167" s="7" t="s">
        <v>127</v>
      </c>
      <c r="R167" s="7" t="s">
        <v>49</v>
      </c>
    </row>
    <row r="168">
      <c r="A168" s="5">
        <v>46231.52207140047</v>
      </c>
      <c r="B168" s="6">
        <v>46234.0</v>
      </c>
      <c r="C168" s="7" t="s">
        <v>419</v>
      </c>
      <c r="D168" s="8" t="s">
        <v>420</v>
      </c>
      <c r="E168" s="7" t="s">
        <v>79</v>
      </c>
      <c r="F168" s="7" t="s">
        <v>347</v>
      </c>
      <c r="G168" s="13" t="s">
        <v>26</v>
      </c>
      <c r="H168" s="10" t="s">
        <v>27</v>
      </c>
      <c r="I168" s="10" t="s">
        <v>28</v>
      </c>
      <c r="J168" s="12">
        <v>46244.59305555555</v>
      </c>
      <c r="K168" s="7" t="s">
        <v>29</v>
      </c>
      <c r="N168" s="7" t="s">
        <v>30</v>
      </c>
      <c r="P168" s="7" t="s">
        <v>30</v>
      </c>
      <c r="Q168" s="7" t="s">
        <v>26</v>
      </c>
      <c r="R168" s="7" t="s">
        <v>52</v>
      </c>
    </row>
    <row r="169">
      <c r="A169" s="5">
        <v>46232.43842543982</v>
      </c>
      <c r="B169" s="6">
        <v>46238.0</v>
      </c>
      <c r="C169" s="7" t="s">
        <v>421</v>
      </c>
      <c r="D169" s="8" t="s">
        <v>422</v>
      </c>
      <c r="E169" s="7" t="s">
        <v>58</v>
      </c>
      <c r="F169" s="7" t="s">
        <v>347</v>
      </c>
      <c r="G169" s="13" t="s">
        <v>26</v>
      </c>
      <c r="H169" s="10" t="s">
        <v>27</v>
      </c>
      <c r="I169" s="10" t="s">
        <v>28</v>
      </c>
      <c r="J169" s="11">
        <f t="shared" ref="J169:J175" si="21">IF(I169="Terminado", IF(J169="", NOW(), J169), "")</f>
        <v>46239.3496</v>
      </c>
      <c r="K169" s="7" t="s">
        <v>29</v>
      </c>
      <c r="N169" s="7" t="s">
        <v>30</v>
      </c>
      <c r="P169" s="7" t="s">
        <v>30</v>
      </c>
      <c r="Q169" s="7" t="s">
        <v>26</v>
      </c>
      <c r="R169" s="7" t="s">
        <v>52</v>
      </c>
    </row>
    <row r="170">
      <c r="A170" s="5">
        <v>46232.53239582176</v>
      </c>
      <c r="B170" s="6">
        <v>46259.0</v>
      </c>
      <c r="C170" s="15" t="s">
        <v>423</v>
      </c>
      <c r="D170" s="8" t="s">
        <v>424</v>
      </c>
      <c r="E170" s="7" t="s">
        <v>425</v>
      </c>
      <c r="F170" s="7" t="s">
        <v>347</v>
      </c>
      <c r="G170" s="13" t="s">
        <v>40</v>
      </c>
      <c r="H170" s="10" t="s">
        <v>27</v>
      </c>
      <c r="I170" s="10" t="s">
        <v>28</v>
      </c>
      <c r="J170" s="11">
        <f t="shared" si="21"/>
        <v>46246.34102</v>
      </c>
      <c r="K170" s="7" t="s">
        <v>29</v>
      </c>
      <c r="N170" s="7" t="s">
        <v>30</v>
      </c>
      <c r="P170" s="7" t="s">
        <v>30</v>
      </c>
      <c r="Q170" s="7" t="s">
        <v>42</v>
      </c>
      <c r="R170" s="7" t="s">
        <v>49</v>
      </c>
    </row>
    <row r="171">
      <c r="A171" s="5">
        <v>46232.67435324074</v>
      </c>
      <c r="B171" s="6">
        <v>46240.0</v>
      </c>
      <c r="C171" s="15" t="s">
        <v>426</v>
      </c>
      <c r="D171" s="8" t="s">
        <v>427</v>
      </c>
      <c r="E171" s="7" t="s">
        <v>58</v>
      </c>
      <c r="F171" s="7" t="s">
        <v>347</v>
      </c>
      <c r="G171" s="13" t="s">
        <v>40</v>
      </c>
      <c r="H171" s="10" t="s">
        <v>27</v>
      </c>
      <c r="I171" s="10" t="s">
        <v>28</v>
      </c>
      <c r="J171" s="11">
        <f t="shared" si="21"/>
        <v>46241.39521</v>
      </c>
      <c r="K171" s="7" t="s">
        <v>29</v>
      </c>
      <c r="N171" s="7" t="s">
        <v>30</v>
      </c>
      <c r="P171" s="7" t="s">
        <v>30</v>
      </c>
      <c r="Q171" s="7" t="s">
        <v>42</v>
      </c>
      <c r="R171" s="7" t="s">
        <v>90</v>
      </c>
    </row>
    <row r="172">
      <c r="A172" s="5">
        <v>46232.69158113426</v>
      </c>
      <c r="B172" s="6">
        <v>46244.0</v>
      </c>
      <c r="C172" s="15" t="s">
        <v>428</v>
      </c>
      <c r="D172" s="8" t="s">
        <v>429</v>
      </c>
      <c r="E172" s="7" t="s">
        <v>58</v>
      </c>
      <c r="F172" s="7" t="s">
        <v>347</v>
      </c>
      <c r="G172" s="13" t="s">
        <v>40</v>
      </c>
      <c r="H172" s="10" t="s">
        <v>27</v>
      </c>
      <c r="I172" s="10" t="s">
        <v>28</v>
      </c>
      <c r="J172" s="11">
        <f t="shared" si="21"/>
        <v>46246.34102</v>
      </c>
      <c r="K172" s="7" t="s">
        <v>29</v>
      </c>
      <c r="N172" s="7" t="s">
        <v>30</v>
      </c>
      <c r="P172" s="7" t="s">
        <v>30</v>
      </c>
      <c r="Q172" s="7" t="s">
        <v>42</v>
      </c>
      <c r="R172" s="7" t="s">
        <v>90</v>
      </c>
    </row>
    <row r="173">
      <c r="A173" s="5">
        <v>46234.35186550926</v>
      </c>
      <c r="B173" s="6">
        <v>46234.0</v>
      </c>
      <c r="C173" s="7" t="s">
        <v>430</v>
      </c>
      <c r="D173" s="7" t="s">
        <v>431</v>
      </c>
      <c r="E173" s="7" t="s">
        <v>432</v>
      </c>
      <c r="F173" s="7" t="s">
        <v>347</v>
      </c>
      <c r="G173" s="13" t="s">
        <v>127</v>
      </c>
      <c r="H173" s="10" t="s">
        <v>27</v>
      </c>
      <c r="I173" s="10" t="s">
        <v>28</v>
      </c>
      <c r="J173" s="11">
        <f t="shared" si="21"/>
        <v>46234.44917</v>
      </c>
      <c r="K173" s="7" t="s">
        <v>29</v>
      </c>
      <c r="N173" s="7" t="s">
        <v>129</v>
      </c>
      <c r="P173" s="7" t="s">
        <v>30</v>
      </c>
      <c r="Q173" s="7" t="s">
        <v>127</v>
      </c>
      <c r="R173" s="7" t="s">
        <v>52</v>
      </c>
    </row>
    <row r="174">
      <c r="A174" s="39">
        <v>46232.694444444445</v>
      </c>
      <c r="B174" s="6">
        <v>46234.0</v>
      </c>
      <c r="C174" s="7" t="s">
        <v>317</v>
      </c>
      <c r="D174" s="7" t="s">
        <v>433</v>
      </c>
      <c r="E174" s="7" t="s">
        <v>45</v>
      </c>
      <c r="F174" s="7" t="s">
        <v>347</v>
      </c>
      <c r="G174" s="13" t="s">
        <v>40</v>
      </c>
      <c r="H174" s="10" t="s">
        <v>27</v>
      </c>
      <c r="I174" s="10" t="s">
        <v>28</v>
      </c>
      <c r="J174" s="11">
        <f t="shared" si="21"/>
        <v>46234.44908</v>
      </c>
      <c r="K174" s="7" t="s">
        <v>55</v>
      </c>
      <c r="L174" s="8" t="s">
        <v>434</v>
      </c>
      <c r="P174" s="7" t="s">
        <v>30</v>
      </c>
      <c r="Q174" s="7" t="s">
        <v>42</v>
      </c>
      <c r="R174" s="7" t="s">
        <v>49</v>
      </c>
    </row>
    <row r="175">
      <c r="A175" s="5">
        <v>46234.44364895833</v>
      </c>
      <c r="B175" s="6">
        <v>46234.0</v>
      </c>
      <c r="C175" s="7" t="s">
        <v>435</v>
      </c>
      <c r="D175" s="7" t="s">
        <v>436</v>
      </c>
      <c r="E175" s="7" t="s">
        <v>437</v>
      </c>
      <c r="F175" s="7" t="s">
        <v>347</v>
      </c>
      <c r="G175" s="13" t="s">
        <v>40</v>
      </c>
      <c r="H175" s="10" t="s">
        <v>27</v>
      </c>
      <c r="I175" s="10" t="s">
        <v>28</v>
      </c>
      <c r="J175" s="11">
        <f t="shared" si="21"/>
        <v>46234.44904</v>
      </c>
      <c r="K175" s="7" t="s">
        <v>55</v>
      </c>
      <c r="L175" s="8" t="s">
        <v>438</v>
      </c>
      <c r="P175" s="7" t="s">
        <v>30</v>
      </c>
      <c r="Q175" s="7" t="s">
        <v>42</v>
      </c>
      <c r="R175" s="7" t="s">
        <v>90</v>
      </c>
    </row>
    <row r="176">
      <c r="A176" s="5">
        <v>46237.422424386576</v>
      </c>
      <c r="B176" s="6">
        <v>46240.0</v>
      </c>
      <c r="C176" s="7" t="s">
        <v>439</v>
      </c>
      <c r="D176" s="7" t="s">
        <v>440</v>
      </c>
      <c r="E176" s="7" t="s">
        <v>87</v>
      </c>
      <c r="F176" s="7" t="s">
        <v>347</v>
      </c>
      <c r="G176" s="13" t="s">
        <v>40</v>
      </c>
      <c r="H176" s="10" t="s">
        <v>27</v>
      </c>
      <c r="I176" s="10" t="s">
        <v>28</v>
      </c>
      <c r="J176" s="12">
        <v>46237.0</v>
      </c>
      <c r="K176" s="7" t="s">
        <v>29</v>
      </c>
      <c r="L176" s="8" t="s">
        <v>441</v>
      </c>
      <c r="N176" s="7" t="s">
        <v>119</v>
      </c>
      <c r="P176" s="7" t="s">
        <v>30</v>
      </c>
      <c r="Q176" s="7" t="s">
        <v>42</v>
      </c>
      <c r="R176" s="7" t="s">
        <v>49</v>
      </c>
    </row>
    <row r="177">
      <c r="A177" s="5">
        <v>46238.38567611111</v>
      </c>
      <c r="B177" s="6">
        <v>46237.0</v>
      </c>
      <c r="C177" s="7" t="s">
        <v>442</v>
      </c>
      <c r="D177" s="7" t="s">
        <v>443</v>
      </c>
      <c r="E177" s="7" t="s">
        <v>45</v>
      </c>
      <c r="F177" s="7" t="s">
        <v>347</v>
      </c>
      <c r="G177" s="13" t="s">
        <v>40</v>
      </c>
      <c r="H177" s="10" t="s">
        <v>27</v>
      </c>
      <c r="I177" s="10" t="s">
        <v>28</v>
      </c>
      <c r="J177" s="12">
        <v>46237.0</v>
      </c>
      <c r="K177" s="7" t="s">
        <v>55</v>
      </c>
      <c r="P177" s="7" t="s">
        <v>30</v>
      </c>
      <c r="Q177" s="7" t="s">
        <v>42</v>
      </c>
      <c r="R177" s="7" t="s">
        <v>49</v>
      </c>
    </row>
    <row r="178">
      <c r="A178" s="5">
        <v>46238.61487701389</v>
      </c>
      <c r="B178" s="6">
        <v>46241.0</v>
      </c>
      <c r="C178" s="7" t="s">
        <v>444</v>
      </c>
      <c r="D178" s="26" t="s">
        <v>445</v>
      </c>
      <c r="E178" s="7" t="s">
        <v>87</v>
      </c>
      <c r="F178" s="7" t="s">
        <v>347</v>
      </c>
      <c r="G178" s="13" t="s">
        <v>40</v>
      </c>
      <c r="H178" s="10" t="s">
        <v>71</v>
      </c>
      <c r="I178" s="10" t="s">
        <v>28</v>
      </c>
      <c r="J178" s="11">
        <f>IF(I178="Terminado", IF(J178="", NOW(), J178), "")</f>
        <v>46240.64123</v>
      </c>
      <c r="K178" s="7" t="s">
        <v>163</v>
      </c>
      <c r="L178" s="8" t="s">
        <v>446</v>
      </c>
      <c r="P178" s="7" t="s">
        <v>30</v>
      </c>
      <c r="Q178" s="7" t="s">
        <v>42</v>
      </c>
      <c r="R178" s="7" t="s">
        <v>49</v>
      </c>
    </row>
    <row r="179">
      <c r="A179" s="5">
        <v>46238.67016905092</v>
      </c>
      <c r="B179" s="6">
        <v>46244.0</v>
      </c>
      <c r="C179" s="7" t="s">
        <v>447</v>
      </c>
      <c r="D179" s="8" t="s">
        <v>448</v>
      </c>
      <c r="E179" s="7" t="s">
        <v>79</v>
      </c>
      <c r="F179" s="7" t="s">
        <v>347</v>
      </c>
      <c r="G179" s="13" t="s">
        <v>26</v>
      </c>
      <c r="H179" s="10" t="s">
        <v>27</v>
      </c>
      <c r="I179" s="10" t="s">
        <v>28</v>
      </c>
      <c r="J179" s="12">
        <v>46247.0</v>
      </c>
      <c r="K179" s="7" t="s">
        <v>29</v>
      </c>
      <c r="N179" s="7" t="s">
        <v>30</v>
      </c>
      <c r="P179" s="7" t="s">
        <v>30</v>
      </c>
      <c r="Q179" s="7" t="s">
        <v>26</v>
      </c>
      <c r="R179" s="7" t="s">
        <v>52</v>
      </c>
    </row>
    <row r="180">
      <c r="A180" s="5">
        <v>46239.62101615741</v>
      </c>
      <c r="B180" s="6">
        <v>46246.0</v>
      </c>
      <c r="C180" s="7" t="s">
        <v>449</v>
      </c>
      <c r="D180" s="8" t="s">
        <v>450</v>
      </c>
      <c r="E180" s="7" t="s">
        <v>39</v>
      </c>
      <c r="F180" s="7" t="s">
        <v>347</v>
      </c>
      <c r="G180" s="13" t="s">
        <v>26</v>
      </c>
      <c r="H180" s="10" t="s">
        <v>27</v>
      </c>
      <c r="I180" s="10" t="s">
        <v>28</v>
      </c>
      <c r="J180" s="12">
        <v>46260.0</v>
      </c>
      <c r="K180" s="7" t="s">
        <v>29</v>
      </c>
      <c r="N180" s="7" t="s">
        <v>30</v>
      </c>
      <c r="P180" s="7" t="s">
        <v>30</v>
      </c>
      <c r="Q180" s="7" t="s">
        <v>26</v>
      </c>
      <c r="R180" s="7" t="s">
        <v>451</v>
      </c>
    </row>
    <row r="181">
      <c r="A181" s="5">
        <v>46240.45116798611</v>
      </c>
      <c r="B181" s="6">
        <v>46240.0</v>
      </c>
      <c r="C181" s="7" t="s">
        <v>452</v>
      </c>
      <c r="D181" s="7" t="s">
        <v>453</v>
      </c>
      <c r="F181" s="7" t="s">
        <v>347</v>
      </c>
      <c r="G181" s="13" t="s">
        <v>127</v>
      </c>
      <c r="H181" s="10" t="s">
        <v>27</v>
      </c>
      <c r="I181" s="10" t="s">
        <v>28</v>
      </c>
      <c r="J181" s="11">
        <f t="shared" ref="J181:J182" si="22">IF(I181="Terminado", IF(J181="", NOW(), J181), "")</f>
        <v>46242.31958</v>
      </c>
      <c r="K181" s="7" t="s">
        <v>29</v>
      </c>
      <c r="M181" s="7" t="s">
        <v>128</v>
      </c>
      <c r="N181" s="7" t="s">
        <v>129</v>
      </c>
      <c r="P181" s="7" t="s">
        <v>130</v>
      </c>
      <c r="Q181" s="7" t="s">
        <v>127</v>
      </c>
      <c r="R181" s="7" t="s">
        <v>49</v>
      </c>
      <c r="U181" s="7" t="s">
        <v>152</v>
      </c>
      <c r="V181" s="7" t="s">
        <v>454</v>
      </c>
    </row>
    <row r="182">
      <c r="A182" s="5">
        <v>46240.64052741898</v>
      </c>
      <c r="B182" s="6">
        <v>46241.0</v>
      </c>
      <c r="C182" s="7" t="s">
        <v>317</v>
      </c>
      <c r="D182" s="7" t="s">
        <v>455</v>
      </c>
      <c r="E182" s="7" t="s">
        <v>45</v>
      </c>
      <c r="F182" s="7" t="s">
        <v>347</v>
      </c>
      <c r="G182" s="13" t="s">
        <v>40</v>
      </c>
      <c r="H182" s="10" t="s">
        <v>27</v>
      </c>
      <c r="I182" s="10" t="s">
        <v>28</v>
      </c>
      <c r="J182" s="11">
        <f t="shared" si="22"/>
        <v>46241.39499</v>
      </c>
      <c r="K182" s="7" t="s">
        <v>55</v>
      </c>
      <c r="L182" s="8" t="s">
        <v>456</v>
      </c>
      <c r="P182" s="7" t="s">
        <v>30</v>
      </c>
      <c r="Q182" s="7" t="s">
        <v>42</v>
      </c>
      <c r="R182" s="7" t="s">
        <v>49</v>
      </c>
    </row>
    <row r="183">
      <c r="A183" s="5">
        <v>46241.5862412037</v>
      </c>
      <c r="B183" s="6">
        <v>46241.0</v>
      </c>
      <c r="C183" s="7" t="s">
        <v>457</v>
      </c>
      <c r="D183" s="8" t="s">
        <v>458</v>
      </c>
      <c r="E183" s="7" t="s">
        <v>24</v>
      </c>
      <c r="F183" s="7" t="s">
        <v>347</v>
      </c>
      <c r="G183" s="13" t="s">
        <v>40</v>
      </c>
      <c r="H183" s="10" t="s">
        <v>296</v>
      </c>
      <c r="I183" s="10" t="s">
        <v>28</v>
      </c>
      <c r="J183" s="12">
        <v>46241.6875</v>
      </c>
      <c r="K183" s="7" t="s">
        <v>29</v>
      </c>
      <c r="N183" s="7" t="s">
        <v>119</v>
      </c>
      <c r="P183" s="7" t="s">
        <v>30</v>
      </c>
      <c r="Q183" s="7" t="s">
        <v>42</v>
      </c>
      <c r="R183" s="7" t="s">
        <v>90</v>
      </c>
    </row>
    <row r="184">
      <c r="A184" s="5">
        <v>46244.38450706018</v>
      </c>
      <c r="B184" s="6">
        <v>46244.0</v>
      </c>
      <c r="C184" s="7" t="s">
        <v>442</v>
      </c>
      <c r="D184" s="7" t="s">
        <v>459</v>
      </c>
      <c r="E184" s="7" t="s">
        <v>45</v>
      </c>
      <c r="F184" s="7" t="s">
        <v>347</v>
      </c>
      <c r="G184" s="13" t="s">
        <v>40</v>
      </c>
      <c r="H184" s="10" t="s">
        <v>27</v>
      </c>
      <c r="I184" s="10" t="s">
        <v>28</v>
      </c>
      <c r="J184" s="12">
        <v>46244.0</v>
      </c>
      <c r="K184" s="7" t="s">
        <v>55</v>
      </c>
      <c r="L184" s="8" t="s">
        <v>460</v>
      </c>
      <c r="P184" s="7" t="s">
        <v>30</v>
      </c>
      <c r="Q184" s="7" t="s">
        <v>42</v>
      </c>
      <c r="R184" s="7" t="s">
        <v>49</v>
      </c>
    </row>
    <row r="185">
      <c r="A185" s="5">
        <v>46245.38375729167</v>
      </c>
      <c r="B185" s="6">
        <v>46251.0</v>
      </c>
      <c r="C185" s="7" t="s">
        <v>461</v>
      </c>
      <c r="D185" s="8" t="s">
        <v>462</v>
      </c>
      <c r="E185" s="7" t="s">
        <v>58</v>
      </c>
      <c r="F185" s="7" t="s">
        <v>347</v>
      </c>
      <c r="G185" s="13" t="s">
        <v>26</v>
      </c>
      <c r="H185" s="10" t="s">
        <v>27</v>
      </c>
      <c r="I185" s="10" t="s">
        <v>28</v>
      </c>
      <c r="J185" s="12">
        <v>46248.0</v>
      </c>
      <c r="K185" s="7" t="s">
        <v>29</v>
      </c>
      <c r="N185" s="7" t="s">
        <v>30</v>
      </c>
      <c r="P185" s="7" t="s">
        <v>30</v>
      </c>
      <c r="Q185" s="7" t="s">
        <v>26</v>
      </c>
      <c r="R185" s="7" t="s">
        <v>49</v>
      </c>
    </row>
    <row r="186">
      <c r="A186" s="5">
        <v>46245.41498004629</v>
      </c>
      <c r="B186" s="6">
        <v>46253.0</v>
      </c>
      <c r="C186" s="7" t="s">
        <v>463</v>
      </c>
      <c r="D186" s="8" t="s">
        <v>464</v>
      </c>
      <c r="E186" s="7" t="s">
        <v>58</v>
      </c>
      <c r="F186" s="7" t="s">
        <v>347</v>
      </c>
      <c r="G186" s="13" t="s">
        <v>26</v>
      </c>
      <c r="H186" s="10" t="s">
        <v>27</v>
      </c>
      <c r="I186" s="10" t="s">
        <v>28</v>
      </c>
      <c r="J186" s="18">
        <f>IF(I186="Terminado", IF(J186="", NOW(), J186), "")</f>
        <v>46274.51976</v>
      </c>
      <c r="K186" s="7" t="s">
        <v>29</v>
      </c>
      <c r="N186" s="7" t="s">
        <v>30</v>
      </c>
      <c r="P186" s="7" t="s">
        <v>30</v>
      </c>
      <c r="Q186" s="7" t="s">
        <v>26</v>
      </c>
      <c r="R186" s="7" t="s">
        <v>52</v>
      </c>
    </row>
    <row r="187">
      <c r="A187" s="5">
        <v>46246.6119528125</v>
      </c>
      <c r="B187" s="6">
        <v>46246.0</v>
      </c>
      <c r="C187" s="7" t="s">
        <v>465</v>
      </c>
      <c r="D187" s="7" t="s">
        <v>466</v>
      </c>
      <c r="F187" s="7" t="s">
        <v>347</v>
      </c>
      <c r="G187" s="13" t="s">
        <v>26</v>
      </c>
      <c r="H187" s="10" t="s">
        <v>27</v>
      </c>
      <c r="I187" s="10" t="s">
        <v>28</v>
      </c>
      <c r="J187" s="12">
        <v>46269.0</v>
      </c>
      <c r="K187" s="7" t="s">
        <v>29</v>
      </c>
      <c r="M187" s="7" t="s">
        <v>128</v>
      </c>
      <c r="N187" s="7" t="s">
        <v>119</v>
      </c>
      <c r="P187" s="7" t="s">
        <v>130</v>
      </c>
      <c r="Q187" s="7" t="s">
        <v>26</v>
      </c>
      <c r="R187" s="7" t="s">
        <v>467</v>
      </c>
      <c r="U187" s="7" t="s">
        <v>131</v>
      </c>
      <c r="V187" s="7" t="s">
        <v>468</v>
      </c>
    </row>
    <row r="188">
      <c r="A188" s="5">
        <v>46248.503919814815</v>
      </c>
      <c r="B188" s="6">
        <v>46248.0</v>
      </c>
      <c r="C188" s="7" t="s">
        <v>317</v>
      </c>
      <c r="D188" s="7" t="s">
        <v>469</v>
      </c>
      <c r="E188" s="7" t="s">
        <v>45</v>
      </c>
      <c r="F188" s="7" t="s">
        <v>347</v>
      </c>
      <c r="G188" s="13" t="s">
        <v>40</v>
      </c>
      <c r="H188" s="10" t="s">
        <v>27</v>
      </c>
      <c r="I188" s="10" t="s">
        <v>28</v>
      </c>
      <c r="J188" s="18">
        <f>IF(I188="Terminado", IF(J188="", NOW(), J188), "")</f>
        <v>46248.50412</v>
      </c>
      <c r="K188" s="7" t="s">
        <v>29</v>
      </c>
      <c r="L188" s="8" t="s">
        <v>470</v>
      </c>
      <c r="N188" s="7" t="s">
        <v>30</v>
      </c>
      <c r="P188" s="7" t="s">
        <v>30</v>
      </c>
      <c r="Q188" s="7" t="s">
        <v>42</v>
      </c>
      <c r="R188" s="7" t="s">
        <v>49</v>
      </c>
    </row>
    <row r="189">
      <c r="A189" s="5">
        <v>46251.386099675925</v>
      </c>
      <c r="B189" s="6">
        <v>46251.0</v>
      </c>
      <c r="C189" s="7" t="s">
        <v>471</v>
      </c>
      <c r="D189" s="7" t="s">
        <v>471</v>
      </c>
      <c r="E189" s="7" t="s">
        <v>73</v>
      </c>
      <c r="F189" s="7" t="s">
        <v>347</v>
      </c>
      <c r="G189" s="13" t="s">
        <v>26</v>
      </c>
      <c r="H189" s="10" t="s">
        <v>27</v>
      </c>
      <c r="I189" s="10" t="s">
        <v>28</v>
      </c>
      <c r="J189" s="16">
        <v>46252.0</v>
      </c>
      <c r="K189" s="7" t="s">
        <v>55</v>
      </c>
      <c r="P189" s="7" t="s">
        <v>30</v>
      </c>
      <c r="Q189" s="7" t="s">
        <v>26</v>
      </c>
      <c r="R189" s="7" t="s">
        <v>52</v>
      </c>
    </row>
    <row r="190">
      <c r="A190" s="5">
        <v>46251.58010724537</v>
      </c>
      <c r="B190" s="6">
        <v>46253.0</v>
      </c>
      <c r="C190" s="7" t="s">
        <v>472</v>
      </c>
      <c r="D190" s="8" t="s">
        <v>473</v>
      </c>
      <c r="E190" s="7" t="s">
        <v>58</v>
      </c>
      <c r="F190" s="7" t="s">
        <v>347</v>
      </c>
      <c r="G190" s="13" t="s">
        <v>40</v>
      </c>
      <c r="H190" s="10" t="s">
        <v>27</v>
      </c>
      <c r="I190" s="10" t="s">
        <v>28</v>
      </c>
      <c r="J190" s="16">
        <v>46253.0</v>
      </c>
      <c r="K190" s="7" t="s">
        <v>29</v>
      </c>
      <c r="N190" s="7" t="s">
        <v>119</v>
      </c>
      <c r="P190" s="7" t="s">
        <v>30</v>
      </c>
      <c r="Q190" s="7" t="s">
        <v>42</v>
      </c>
      <c r="R190" s="7" t="s">
        <v>90</v>
      </c>
    </row>
    <row r="191">
      <c r="A191" s="5">
        <v>46253.50740269676</v>
      </c>
      <c r="B191" s="6">
        <v>46258.0</v>
      </c>
      <c r="C191" s="7" t="s">
        <v>474</v>
      </c>
      <c r="D191" s="7" t="s">
        <v>475</v>
      </c>
      <c r="E191" s="7" t="s">
        <v>24</v>
      </c>
      <c r="F191" s="7" t="s">
        <v>347</v>
      </c>
      <c r="G191" s="17" t="s">
        <v>476</v>
      </c>
      <c r="H191" s="10" t="s">
        <v>27</v>
      </c>
      <c r="I191" s="10" t="s">
        <v>28</v>
      </c>
      <c r="J191" s="16">
        <v>46253.0</v>
      </c>
      <c r="K191" s="7" t="s">
        <v>55</v>
      </c>
      <c r="P191" s="7" t="s">
        <v>30</v>
      </c>
      <c r="Q191" s="7" t="s">
        <v>242</v>
      </c>
      <c r="R191" s="7" t="s">
        <v>52</v>
      </c>
    </row>
    <row r="192" ht="16.5" customHeight="1">
      <c r="A192" s="5">
        <v>46253.66140282407</v>
      </c>
      <c r="B192" s="6">
        <v>46253.0</v>
      </c>
      <c r="C192" s="7" t="s">
        <v>477</v>
      </c>
      <c r="D192" s="7" t="s">
        <v>478</v>
      </c>
      <c r="E192" s="7" t="s">
        <v>479</v>
      </c>
      <c r="F192" s="7" t="s">
        <v>347</v>
      </c>
      <c r="G192" s="17" t="s">
        <v>476</v>
      </c>
      <c r="H192" s="10" t="s">
        <v>27</v>
      </c>
      <c r="I192" s="10" t="s">
        <v>28</v>
      </c>
      <c r="J192" s="16">
        <v>46252.0</v>
      </c>
      <c r="K192" s="7" t="s">
        <v>29</v>
      </c>
      <c r="N192" s="7" t="s">
        <v>30</v>
      </c>
      <c r="P192" s="7" t="s">
        <v>30</v>
      </c>
      <c r="Q192" s="7" t="s">
        <v>242</v>
      </c>
      <c r="R192" s="7" t="s">
        <v>49</v>
      </c>
    </row>
    <row r="193" ht="16.5" customHeight="1">
      <c r="A193" s="5">
        <v>46253.66235195602</v>
      </c>
      <c r="B193" s="6">
        <v>46253.0</v>
      </c>
      <c r="C193" s="7" t="s">
        <v>480</v>
      </c>
      <c r="D193" s="7" t="s">
        <v>481</v>
      </c>
      <c r="E193" s="7" t="s">
        <v>479</v>
      </c>
      <c r="F193" s="7" t="s">
        <v>347</v>
      </c>
      <c r="G193" s="17" t="s">
        <v>476</v>
      </c>
      <c r="H193" s="10" t="s">
        <v>27</v>
      </c>
      <c r="I193" s="10" t="s">
        <v>28</v>
      </c>
      <c r="J193" s="16">
        <v>46252.0</v>
      </c>
      <c r="K193" s="7" t="s">
        <v>46</v>
      </c>
      <c r="P193" s="7" t="s">
        <v>30</v>
      </c>
      <c r="Q193" s="7" t="s">
        <v>242</v>
      </c>
      <c r="R193" s="7" t="s">
        <v>49</v>
      </c>
    </row>
    <row r="194">
      <c r="A194" s="5">
        <v>46253.663684907406</v>
      </c>
      <c r="B194" s="6">
        <v>46253.0</v>
      </c>
      <c r="C194" s="7" t="s">
        <v>482</v>
      </c>
      <c r="D194" s="7" t="s">
        <v>483</v>
      </c>
      <c r="E194" s="7" t="s">
        <v>479</v>
      </c>
      <c r="F194" s="7" t="s">
        <v>347</v>
      </c>
      <c r="G194" s="17" t="s">
        <v>476</v>
      </c>
      <c r="H194" s="10" t="s">
        <v>27</v>
      </c>
      <c r="I194" s="10" t="s">
        <v>28</v>
      </c>
      <c r="J194" s="16">
        <v>46252.0</v>
      </c>
      <c r="K194" s="7" t="s">
        <v>29</v>
      </c>
      <c r="N194" s="7" t="s">
        <v>30</v>
      </c>
      <c r="P194" s="7" t="s">
        <v>30</v>
      </c>
      <c r="Q194" s="7" t="s">
        <v>242</v>
      </c>
      <c r="R194" s="7" t="s">
        <v>49</v>
      </c>
    </row>
    <row r="195">
      <c r="A195" s="5">
        <v>46254.34992291666</v>
      </c>
      <c r="B195" s="6">
        <v>46254.0</v>
      </c>
      <c r="C195" s="7" t="s">
        <v>484</v>
      </c>
      <c r="D195" s="7" t="s">
        <v>485</v>
      </c>
      <c r="E195" s="7" t="s">
        <v>87</v>
      </c>
      <c r="F195" s="7" t="s">
        <v>347</v>
      </c>
      <c r="G195" s="17" t="s">
        <v>476</v>
      </c>
      <c r="H195" s="10" t="s">
        <v>27</v>
      </c>
      <c r="I195" s="10" t="s">
        <v>28</v>
      </c>
      <c r="J195" s="16">
        <v>46254.0</v>
      </c>
      <c r="K195" s="7" t="s">
        <v>163</v>
      </c>
      <c r="P195" s="7" t="s">
        <v>30</v>
      </c>
      <c r="Q195" s="7" t="s">
        <v>242</v>
      </c>
      <c r="R195" s="7" t="s">
        <v>49</v>
      </c>
    </row>
    <row r="196" ht="15.75" customHeight="1">
      <c r="A196" s="5">
        <v>46254.38686324074</v>
      </c>
      <c r="B196" s="6">
        <v>46255.0</v>
      </c>
      <c r="C196" s="7" t="s">
        <v>486</v>
      </c>
      <c r="D196" s="7" t="s">
        <v>481</v>
      </c>
      <c r="E196" s="7" t="s">
        <v>487</v>
      </c>
      <c r="F196" s="7" t="s">
        <v>347</v>
      </c>
      <c r="G196" s="17" t="s">
        <v>476</v>
      </c>
      <c r="H196" s="10" t="s">
        <v>27</v>
      </c>
      <c r="I196" s="10" t="s">
        <v>28</v>
      </c>
      <c r="J196" s="11"/>
      <c r="K196" s="7" t="s">
        <v>29</v>
      </c>
      <c r="N196" s="7" t="s">
        <v>30</v>
      </c>
      <c r="P196" s="7" t="s">
        <v>30</v>
      </c>
      <c r="Q196" s="7" t="s">
        <v>242</v>
      </c>
      <c r="R196" s="7" t="s">
        <v>49</v>
      </c>
    </row>
    <row r="197" ht="15.0" customHeight="1">
      <c r="A197" s="5">
        <v>46254.639178032405</v>
      </c>
      <c r="B197" s="6">
        <v>46261.0</v>
      </c>
      <c r="C197" s="7" t="s">
        <v>488</v>
      </c>
      <c r="D197" s="7" t="s">
        <v>489</v>
      </c>
      <c r="F197" s="7" t="s">
        <v>347</v>
      </c>
      <c r="G197" s="13" t="s">
        <v>64</v>
      </c>
      <c r="H197" s="10" t="s">
        <v>27</v>
      </c>
      <c r="I197" s="10" t="s">
        <v>28</v>
      </c>
      <c r="J197" s="11">
        <f>IF(I197="Terminado", IF(J197="", NOW(), J197), "")</f>
        <v>46265.70134</v>
      </c>
      <c r="K197" s="7" t="s">
        <v>29</v>
      </c>
      <c r="L197" s="7" t="s">
        <v>490</v>
      </c>
      <c r="M197" s="7" t="s">
        <v>491</v>
      </c>
      <c r="N197" s="7" t="s">
        <v>65</v>
      </c>
      <c r="P197" s="7" t="s">
        <v>130</v>
      </c>
      <c r="Q197" s="7" t="s">
        <v>64</v>
      </c>
      <c r="R197" s="7" t="s">
        <v>492</v>
      </c>
      <c r="S197" s="7" t="s">
        <v>493</v>
      </c>
      <c r="T197" s="7" t="s">
        <v>151</v>
      </c>
      <c r="U197" s="7" t="s">
        <v>131</v>
      </c>
      <c r="V197" s="7" t="s">
        <v>494</v>
      </c>
    </row>
    <row r="198">
      <c r="A198" s="5">
        <v>46255.39736243055</v>
      </c>
      <c r="B198" s="6">
        <v>46255.0</v>
      </c>
      <c r="C198" s="7" t="s">
        <v>105</v>
      </c>
      <c r="D198" s="7" t="s">
        <v>485</v>
      </c>
      <c r="E198" s="7" t="s">
        <v>479</v>
      </c>
      <c r="F198" s="7" t="s">
        <v>347</v>
      </c>
      <c r="G198" s="17" t="s">
        <v>476</v>
      </c>
      <c r="H198" s="10" t="s">
        <v>27</v>
      </c>
      <c r="I198" s="10" t="s">
        <v>28</v>
      </c>
      <c r="J198" s="11"/>
      <c r="K198" s="7" t="s">
        <v>46</v>
      </c>
      <c r="P198" s="7" t="s">
        <v>30</v>
      </c>
      <c r="Q198" s="7" t="s">
        <v>242</v>
      </c>
      <c r="R198" s="7" t="s">
        <v>49</v>
      </c>
    </row>
    <row r="199" ht="15.0" customHeight="1">
      <c r="A199" s="5">
        <v>46255.47500133102</v>
      </c>
      <c r="B199" s="6">
        <v>46258.0</v>
      </c>
      <c r="C199" s="7" t="s">
        <v>495</v>
      </c>
      <c r="D199" s="7" t="s">
        <v>496</v>
      </c>
      <c r="F199" s="7" t="s">
        <v>347</v>
      </c>
      <c r="G199" s="17" t="s">
        <v>497</v>
      </c>
      <c r="H199" s="10" t="s">
        <v>27</v>
      </c>
      <c r="I199" s="10" t="s">
        <v>28</v>
      </c>
      <c r="J199" s="11"/>
      <c r="K199" s="7" t="s">
        <v>29</v>
      </c>
      <c r="M199" s="7" t="s">
        <v>221</v>
      </c>
      <c r="N199" s="7" t="s">
        <v>65</v>
      </c>
      <c r="P199" s="7" t="s">
        <v>130</v>
      </c>
      <c r="Q199" s="7" t="s">
        <v>112</v>
      </c>
      <c r="R199" s="7" t="s">
        <v>52</v>
      </c>
      <c r="U199" s="7" t="s">
        <v>131</v>
      </c>
      <c r="V199" s="7" t="s">
        <v>222</v>
      </c>
    </row>
    <row r="200" ht="15.0" customHeight="1">
      <c r="A200" s="5">
        <v>46258.34050777778</v>
      </c>
      <c r="B200" s="6">
        <v>46262.0</v>
      </c>
      <c r="C200" s="7" t="s">
        <v>417</v>
      </c>
      <c r="D200" s="7" t="s">
        <v>498</v>
      </c>
      <c r="E200" s="7" t="s">
        <v>178</v>
      </c>
      <c r="F200" s="7" t="s">
        <v>347</v>
      </c>
      <c r="G200" s="13" t="s">
        <v>127</v>
      </c>
      <c r="H200" s="10" t="s">
        <v>27</v>
      </c>
      <c r="I200" s="10" t="s">
        <v>28</v>
      </c>
      <c r="J200" s="11">
        <f>IF(I200="Terminado", IF(J200="", NOW(), J200), "")</f>
        <v>46272.70041</v>
      </c>
      <c r="K200" s="7" t="s">
        <v>29</v>
      </c>
      <c r="N200" s="7" t="s">
        <v>129</v>
      </c>
      <c r="P200" s="7" t="s">
        <v>66</v>
      </c>
      <c r="Q200" s="7" t="s">
        <v>127</v>
      </c>
      <c r="R200" s="7" t="s">
        <v>49</v>
      </c>
    </row>
    <row r="201" ht="16.5" customHeight="1">
      <c r="A201" s="5">
        <v>46258.428274861115</v>
      </c>
      <c r="B201" s="6">
        <v>46255.0</v>
      </c>
      <c r="C201" s="7" t="s">
        <v>499</v>
      </c>
      <c r="D201" s="7" t="s">
        <v>500</v>
      </c>
      <c r="E201" s="7" t="s">
        <v>479</v>
      </c>
      <c r="F201" s="7" t="s">
        <v>347</v>
      </c>
      <c r="G201" s="13" t="s">
        <v>242</v>
      </c>
      <c r="H201" s="10" t="s">
        <v>27</v>
      </c>
      <c r="I201" s="10" t="s">
        <v>28</v>
      </c>
      <c r="J201" s="11"/>
      <c r="K201" s="7" t="s">
        <v>55</v>
      </c>
      <c r="P201" s="7" t="s">
        <v>30</v>
      </c>
      <c r="Q201" s="7" t="s">
        <v>242</v>
      </c>
      <c r="R201" s="7" t="s">
        <v>49</v>
      </c>
    </row>
    <row r="202" ht="15.75" customHeight="1">
      <c r="A202" s="5">
        <v>46258.47127998843</v>
      </c>
      <c r="B202" s="6">
        <v>46261.0</v>
      </c>
      <c r="C202" s="7" t="s">
        <v>501</v>
      </c>
      <c r="D202" s="8" t="s">
        <v>502</v>
      </c>
      <c r="E202" s="7" t="s">
        <v>39</v>
      </c>
      <c r="F202" s="7" t="s">
        <v>347</v>
      </c>
      <c r="G202" s="13" t="s">
        <v>26</v>
      </c>
      <c r="H202" s="10" t="s">
        <v>27</v>
      </c>
      <c r="I202" s="10" t="s">
        <v>28</v>
      </c>
      <c r="J202" s="11">
        <f t="shared" ref="J202:J205" si="23">IF(I202="Terminado", IF(J202="", NOW(), J202), "")</f>
        <v>46275.4599</v>
      </c>
      <c r="K202" s="7" t="s">
        <v>29</v>
      </c>
      <c r="N202" s="7" t="s">
        <v>30</v>
      </c>
      <c r="P202" s="7" t="s">
        <v>30</v>
      </c>
      <c r="Q202" s="7" t="s">
        <v>26</v>
      </c>
      <c r="R202" s="7" t="s">
        <v>52</v>
      </c>
    </row>
    <row r="203" ht="18.75" customHeight="1">
      <c r="A203" s="5">
        <v>46258.47256678241</v>
      </c>
      <c r="B203" s="6">
        <v>46260.0</v>
      </c>
      <c r="C203" s="7" t="s">
        <v>503</v>
      </c>
      <c r="D203" s="7" t="s">
        <v>504</v>
      </c>
      <c r="F203" s="7" t="s">
        <v>347</v>
      </c>
      <c r="G203" s="13" t="s">
        <v>127</v>
      </c>
      <c r="H203" s="10" t="s">
        <v>27</v>
      </c>
      <c r="I203" s="10" t="s">
        <v>28</v>
      </c>
      <c r="J203" s="11">
        <f t="shared" si="23"/>
        <v>46265.70156</v>
      </c>
      <c r="K203" s="7" t="s">
        <v>29</v>
      </c>
      <c r="M203" s="7" t="s">
        <v>505</v>
      </c>
      <c r="N203" s="7" t="s">
        <v>129</v>
      </c>
      <c r="P203" s="7" t="s">
        <v>130</v>
      </c>
      <c r="Q203" s="7" t="s">
        <v>127</v>
      </c>
      <c r="R203" s="7" t="s">
        <v>506</v>
      </c>
      <c r="S203" s="7" t="s">
        <v>507</v>
      </c>
      <c r="T203" s="7" t="s">
        <v>151</v>
      </c>
      <c r="U203" s="7" t="s">
        <v>152</v>
      </c>
      <c r="V203" s="7" t="s">
        <v>153</v>
      </c>
    </row>
    <row r="204" ht="16.5" customHeight="1">
      <c r="A204" s="5">
        <v>46258.6225396875</v>
      </c>
      <c r="B204" s="6">
        <v>46262.0</v>
      </c>
      <c r="C204" s="7" t="s">
        <v>508</v>
      </c>
      <c r="D204" s="8" t="s">
        <v>509</v>
      </c>
      <c r="E204" s="7" t="s">
        <v>58</v>
      </c>
      <c r="F204" s="7" t="s">
        <v>347</v>
      </c>
      <c r="G204" s="13" t="s">
        <v>26</v>
      </c>
      <c r="H204" s="10" t="s">
        <v>27</v>
      </c>
      <c r="I204" s="10" t="s">
        <v>28</v>
      </c>
      <c r="J204" s="11">
        <f t="shared" si="23"/>
        <v>46275.70305</v>
      </c>
      <c r="K204" s="7" t="s">
        <v>29</v>
      </c>
      <c r="N204" s="7" t="s">
        <v>30</v>
      </c>
      <c r="P204" s="7" t="s">
        <v>30</v>
      </c>
      <c r="Q204" s="7" t="s">
        <v>26</v>
      </c>
      <c r="R204" s="7" t="s">
        <v>52</v>
      </c>
    </row>
    <row r="205">
      <c r="A205" s="5">
        <v>46258.70641111111</v>
      </c>
      <c r="B205" s="6">
        <v>46262.0</v>
      </c>
      <c r="C205" s="7" t="s">
        <v>510</v>
      </c>
      <c r="D205" s="8" t="s">
        <v>511</v>
      </c>
      <c r="E205" s="7" t="s">
        <v>39</v>
      </c>
      <c r="F205" s="7" t="s">
        <v>347</v>
      </c>
      <c r="G205" s="13" t="s">
        <v>26</v>
      </c>
      <c r="H205" s="10" t="s">
        <v>27</v>
      </c>
      <c r="I205" s="10" t="s">
        <v>28</v>
      </c>
      <c r="J205" s="11">
        <f t="shared" si="23"/>
        <v>46275.70306</v>
      </c>
      <c r="K205" s="7" t="s">
        <v>29</v>
      </c>
      <c r="N205" s="7" t="s">
        <v>30</v>
      </c>
      <c r="P205" s="7" t="s">
        <v>30</v>
      </c>
      <c r="Q205" s="7" t="s">
        <v>26</v>
      </c>
      <c r="R205" s="7" t="s">
        <v>52</v>
      </c>
    </row>
    <row r="206" ht="17.25" customHeight="1">
      <c r="A206" s="5">
        <v>46259.674656828705</v>
      </c>
      <c r="B206" s="6">
        <v>46262.0</v>
      </c>
      <c r="C206" s="7" t="s">
        <v>512</v>
      </c>
      <c r="D206" s="7" t="s">
        <v>513</v>
      </c>
      <c r="E206" s="7" t="s">
        <v>178</v>
      </c>
      <c r="F206" s="7" t="s">
        <v>347</v>
      </c>
      <c r="G206" s="13" t="s">
        <v>242</v>
      </c>
      <c r="H206" s="10" t="s">
        <v>27</v>
      </c>
      <c r="I206" s="10" t="s">
        <v>28</v>
      </c>
      <c r="J206" s="12">
        <v>46268.0</v>
      </c>
      <c r="K206" s="7" t="s">
        <v>243</v>
      </c>
      <c r="L206" s="8" t="s">
        <v>514</v>
      </c>
      <c r="P206" s="7" t="s">
        <v>66</v>
      </c>
      <c r="Q206" s="7" t="s">
        <v>242</v>
      </c>
      <c r="R206" s="7" t="s">
        <v>515</v>
      </c>
    </row>
    <row r="207" ht="16.5" customHeight="1">
      <c r="A207" s="5">
        <v>46260.62408347223</v>
      </c>
      <c r="B207" s="6">
        <v>46262.0</v>
      </c>
      <c r="C207" s="7" t="s">
        <v>516</v>
      </c>
      <c r="D207" s="8" t="s">
        <v>517</v>
      </c>
      <c r="E207" s="7" t="s">
        <v>79</v>
      </c>
      <c r="F207" s="7" t="s">
        <v>347</v>
      </c>
      <c r="G207" s="13" t="s">
        <v>40</v>
      </c>
      <c r="H207" s="10" t="s">
        <v>27</v>
      </c>
      <c r="I207" s="10" t="s">
        <v>28</v>
      </c>
      <c r="J207" s="12">
        <v>46276.0</v>
      </c>
      <c r="K207" s="7" t="s">
        <v>29</v>
      </c>
      <c r="N207" s="7" t="s">
        <v>30</v>
      </c>
      <c r="P207" s="7" t="s">
        <v>30</v>
      </c>
      <c r="Q207" s="7" t="s">
        <v>42</v>
      </c>
      <c r="R207" s="7" t="s">
        <v>90</v>
      </c>
    </row>
    <row r="208" ht="16.5" customHeight="1">
      <c r="A208" s="5">
        <v>46261.37022412037</v>
      </c>
      <c r="B208" s="6">
        <v>46262.0</v>
      </c>
      <c r="C208" s="7" t="s">
        <v>518</v>
      </c>
      <c r="D208" s="7" t="s">
        <v>519</v>
      </c>
      <c r="E208" s="7" t="s">
        <v>520</v>
      </c>
      <c r="F208" s="7" t="s">
        <v>347</v>
      </c>
      <c r="G208" s="13" t="s">
        <v>127</v>
      </c>
      <c r="H208" s="10" t="s">
        <v>27</v>
      </c>
      <c r="I208" s="10" t="s">
        <v>28</v>
      </c>
      <c r="J208" s="11">
        <f t="shared" ref="J208:J209" si="24">IF(I208="Terminado", IF(J208="", NOW(), J208), "")</f>
        <v>46265.70107</v>
      </c>
      <c r="K208" s="7" t="s">
        <v>29</v>
      </c>
      <c r="N208" s="7" t="s">
        <v>129</v>
      </c>
      <c r="P208" s="7" t="s">
        <v>66</v>
      </c>
      <c r="Q208" s="7" t="s">
        <v>127</v>
      </c>
      <c r="R208" s="7" t="s">
        <v>521</v>
      </c>
    </row>
    <row r="209" ht="16.5" customHeight="1">
      <c r="A209" s="5">
        <v>46261.4868566088</v>
      </c>
      <c r="B209" s="6">
        <v>46262.0</v>
      </c>
      <c r="C209" s="7" t="s">
        <v>294</v>
      </c>
      <c r="D209" s="7" t="s">
        <v>522</v>
      </c>
      <c r="E209" s="7" t="s">
        <v>45</v>
      </c>
      <c r="F209" s="7" t="s">
        <v>347</v>
      </c>
      <c r="G209" s="13" t="s">
        <v>40</v>
      </c>
      <c r="H209" s="10" t="s">
        <v>27</v>
      </c>
      <c r="I209" s="10" t="s">
        <v>28</v>
      </c>
      <c r="J209" s="18">
        <f t="shared" si="24"/>
        <v>46262.48111</v>
      </c>
      <c r="K209" s="7" t="s">
        <v>55</v>
      </c>
      <c r="L209" s="8" t="s">
        <v>523</v>
      </c>
      <c r="P209" s="7" t="s">
        <v>30</v>
      </c>
      <c r="Q209" s="7" t="s">
        <v>42</v>
      </c>
      <c r="R209" s="7" t="s">
        <v>49</v>
      </c>
    </row>
    <row r="210">
      <c r="A210" s="5">
        <v>46266.67808034722</v>
      </c>
      <c r="B210" s="6">
        <v>46267.0</v>
      </c>
      <c r="C210" s="15" t="s">
        <v>524</v>
      </c>
      <c r="D210" s="8" t="s">
        <v>525</v>
      </c>
      <c r="E210" s="7" t="s">
        <v>58</v>
      </c>
      <c r="F210" s="7" t="s">
        <v>347</v>
      </c>
      <c r="G210" s="13" t="s">
        <v>40</v>
      </c>
      <c r="H210" s="10" t="s">
        <v>296</v>
      </c>
      <c r="I210" s="10" t="s">
        <v>28</v>
      </c>
      <c r="J210" s="12">
        <v>46266.0</v>
      </c>
      <c r="K210" s="7" t="s">
        <v>29</v>
      </c>
      <c r="N210" s="7" t="s">
        <v>30</v>
      </c>
      <c r="P210" s="7" t="s">
        <v>30</v>
      </c>
      <c r="Q210" s="7" t="s">
        <v>42</v>
      </c>
      <c r="R210" s="7" t="s">
        <v>90</v>
      </c>
    </row>
    <row r="211" ht="15.75" customHeight="1">
      <c r="A211" s="5">
        <v>46266.692300069444</v>
      </c>
      <c r="B211" s="6">
        <v>46266.0</v>
      </c>
      <c r="C211" s="7" t="s">
        <v>60</v>
      </c>
      <c r="D211" s="7" t="s">
        <v>60</v>
      </c>
      <c r="E211" s="7" t="s">
        <v>271</v>
      </c>
      <c r="F211" s="7" t="s">
        <v>347</v>
      </c>
      <c r="G211" s="17" t="s">
        <v>134</v>
      </c>
      <c r="H211" s="10" t="s">
        <v>27</v>
      </c>
      <c r="I211" s="10" t="s">
        <v>28</v>
      </c>
      <c r="J211" s="12">
        <v>46266.0</v>
      </c>
      <c r="K211" s="7" t="s">
        <v>55</v>
      </c>
      <c r="P211" s="7" t="s">
        <v>30</v>
      </c>
      <c r="Q211" s="7" t="s">
        <v>26</v>
      </c>
      <c r="R211" s="7" t="s">
        <v>52</v>
      </c>
    </row>
    <row r="212" ht="15.0" customHeight="1">
      <c r="A212" s="5">
        <v>46268.351982754626</v>
      </c>
      <c r="B212" s="6">
        <v>46269.0</v>
      </c>
      <c r="C212" s="7" t="s">
        <v>294</v>
      </c>
      <c r="D212" s="7" t="s">
        <v>526</v>
      </c>
      <c r="E212" s="7" t="s">
        <v>45</v>
      </c>
      <c r="F212" s="7" t="s">
        <v>347</v>
      </c>
      <c r="G212" s="13" t="s">
        <v>40</v>
      </c>
      <c r="H212" s="10" t="s">
        <v>27</v>
      </c>
      <c r="I212" s="10" t="s">
        <v>28</v>
      </c>
      <c r="J212" s="12">
        <v>46269.0</v>
      </c>
      <c r="K212" s="7" t="s">
        <v>55</v>
      </c>
      <c r="L212" s="8" t="s">
        <v>527</v>
      </c>
      <c r="N212" s="7" t="s">
        <v>30</v>
      </c>
      <c r="P212" s="7" t="s">
        <v>30</v>
      </c>
      <c r="Q212" s="7" t="s">
        <v>42</v>
      </c>
      <c r="R212" s="7" t="s">
        <v>49</v>
      </c>
    </row>
    <row r="213" ht="16.5" customHeight="1">
      <c r="A213" s="5">
        <v>46272.436074502315</v>
      </c>
      <c r="B213" s="6">
        <v>46273.0</v>
      </c>
      <c r="C213" s="7" t="s">
        <v>528</v>
      </c>
      <c r="D213" s="40" t="s">
        <v>529</v>
      </c>
      <c r="E213" s="7" t="s">
        <v>530</v>
      </c>
      <c r="F213" s="7" t="s">
        <v>347</v>
      </c>
      <c r="G213" s="13" t="s">
        <v>242</v>
      </c>
      <c r="H213" s="10" t="s">
        <v>27</v>
      </c>
      <c r="I213" s="10" t="s">
        <v>531</v>
      </c>
      <c r="J213" s="11" t="str">
        <f t="shared" ref="J213:J215" si="25">IF(I213="Terminado", IF(J213="", NOW(), J213), "")</f>
        <v/>
      </c>
      <c r="K213" s="7" t="s">
        <v>29</v>
      </c>
      <c r="N213" s="7" t="s">
        <v>65</v>
      </c>
      <c r="P213" s="7" t="s">
        <v>30</v>
      </c>
      <c r="Q213" s="7" t="s">
        <v>242</v>
      </c>
      <c r="R213" s="7" t="s">
        <v>530</v>
      </c>
    </row>
    <row r="214" ht="17.25" customHeight="1">
      <c r="A214" s="5">
        <v>46272.478537256946</v>
      </c>
      <c r="B214" s="6">
        <v>46272.0</v>
      </c>
      <c r="C214" s="7" t="s">
        <v>532</v>
      </c>
      <c r="D214" s="7" t="s">
        <v>533</v>
      </c>
      <c r="E214" s="7" t="s">
        <v>45</v>
      </c>
      <c r="F214" s="7" t="s">
        <v>347</v>
      </c>
      <c r="G214" s="13" t="s">
        <v>40</v>
      </c>
      <c r="H214" s="10" t="s">
        <v>27</v>
      </c>
      <c r="I214" s="10" t="s">
        <v>28</v>
      </c>
      <c r="J214" s="18">
        <f t="shared" si="25"/>
        <v>46272.6989</v>
      </c>
      <c r="K214" s="7" t="s">
        <v>55</v>
      </c>
      <c r="P214" s="7" t="s">
        <v>30</v>
      </c>
      <c r="Q214" s="7" t="s">
        <v>42</v>
      </c>
      <c r="R214" s="7" t="s">
        <v>49</v>
      </c>
    </row>
    <row r="215" ht="15.0" customHeight="1">
      <c r="A215" s="5">
        <v>46273.50276311343</v>
      </c>
      <c r="B215" s="6">
        <v>46276.0</v>
      </c>
      <c r="C215" s="7" t="s">
        <v>534</v>
      </c>
      <c r="D215" s="8" t="s">
        <v>535</v>
      </c>
      <c r="E215" s="7" t="s">
        <v>79</v>
      </c>
      <c r="F215" s="7" t="s">
        <v>347</v>
      </c>
      <c r="G215" s="13" t="s">
        <v>26</v>
      </c>
      <c r="H215" s="10" t="s">
        <v>27</v>
      </c>
      <c r="I215" s="10" t="s">
        <v>41</v>
      </c>
      <c r="J215" s="11" t="str">
        <f t="shared" si="25"/>
        <v/>
      </c>
      <c r="K215" s="7" t="s">
        <v>29</v>
      </c>
      <c r="N215" s="7" t="s">
        <v>30</v>
      </c>
      <c r="P215" s="7" t="s">
        <v>30</v>
      </c>
      <c r="Q215" s="7" t="s">
        <v>26</v>
      </c>
      <c r="R215" s="7" t="s">
        <v>52</v>
      </c>
    </row>
    <row r="216" ht="15.0" customHeight="1">
      <c r="A216" s="14">
        <v>46254.0</v>
      </c>
      <c r="B216" s="6">
        <v>46274.0</v>
      </c>
      <c r="C216" s="7" t="s">
        <v>536</v>
      </c>
      <c r="D216" s="7" t="s">
        <v>537</v>
      </c>
      <c r="E216" s="7" t="s">
        <v>538</v>
      </c>
      <c r="F216" s="7" t="s">
        <v>347</v>
      </c>
      <c r="G216" s="17" t="s">
        <v>539</v>
      </c>
      <c r="H216" s="10" t="s">
        <v>27</v>
      </c>
      <c r="I216" s="10" t="s">
        <v>28</v>
      </c>
      <c r="J216" s="12">
        <v>46274.0</v>
      </c>
      <c r="K216" s="7" t="s">
        <v>29</v>
      </c>
      <c r="N216" s="7" t="s">
        <v>119</v>
      </c>
      <c r="P216" s="7" t="s">
        <v>30</v>
      </c>
      <c r="Q216" s="7" t="s">
        <v>42</v>
      </c>
      <c r="R216" s="7" t="s">
        <v>49</v>
      </c>
    </row>
    <row r="217" ht="15.0" customHeight="1">
      <c r="A217" s="5">
        <v>46274.669791249995</v>
      </c>
      <c r="B217" s="6">
        <v>46276.0</v>
      </c>
      <c r="C217" s="7" t="s">
        <v>540</v>
      </c>
      <c r="D217" s="8" t="s">
        <v>541</v>
      </c>
      <c r="E217" s="7" t="s">
        <v>58</v>
      </c>
      <c r="F217" s="7" t="s">
        <v>347</v>
      </c>
      <c r="G217" s="13" t="s">
        <v>26</v>
      </c>
      <c r="H217" s="10" t="s">
        <v>27</v>
      </c>
      <c r="I217" s="10" t="s">
        <v>28</v>
      </c>
      <c r="J217" s="12">
        <v>46276.0</v>
      </c>
      <c r="K217" s="7" t="s">
        <v>29</v>
      </c>
      <c r="N217" s="7" t="s">
        <v>30</v>
      </c>
      <c r="P217" s="7" t="s">
        <v>30</v>
      </c>
      <c r="Q217" s="7" t="s">
        <v>26</v>
      </c>
      <c r="R217" s="7" t="s">
        <v>52</v>
      </c>
    </row>
    <row r="218" ht="15.0" customHeight="1">
      <c r="A218" s="5">
        <v>46275.55675775463</v>
      </c>
      <c r="B218" s="6">
        <v>46276.0</v>
      </c>
      <c r="C218" s="7" t="s">
        <v>542</v>
      </c>
      <c r="D218" s="8" t="s">
        <v>543</v>
      </c>
      <c r="E218" s="7" t="s">
        <v>24</v>
      </c>
      <c r="F218" s="7" t="s">
        <v>347</v>
      </c>
      <c r="G218" s="13" t="s">
        <v>40</v>
      </c>
      <c r="H218" s="10" t="s">
        <v>27</v>
      </c>
      <c r="I218" s="10" t="s">
        <v>28</v>
      </c>
      <c r="J218" s="12">
        <v>46276.0</v>
      </c>
      <c r="K218" s="7" t="s">
        <v>29</v>
      </c>
      <c r="N218" s="7" t="s">
        <v>30</v>
      </c>
      <c r="P218" s="7" t="s">
        <v>30</v>
      </c>
      <c r="Q218" s="7" t="s">
        <v>42</v>
      </c>
      <c r="R218" s="7" t="s">
        <v>544</v>
      </c>
    </row>
    <row r="219" ht="15.75" customHeight="1">
      <c r="A219" s="5">
        <v>46303.333333333336</v>
      </c>
      <c r="B219" s="6">
        <v>46305.0</v>
      </c>
      <c r="C219" s="15" t="s">
        <v>545</v>
      </c>
      <c r="D219" s="28" t="s">
        <v>546</v>
      </c>
      <c r="E219" s="7" t="s">
        <v>87</v>
      </c>
      <c r="F219" s="7" t="s">
        <v>347</v>
      </c>
      <c r="G219" s="13" t="s">
        <v>331</v>
      </c>
      <c r="H219" s="10" t="s">
        <v>27</v>
      </c>
      <c r="I219" s="10" t="s">
        <v>336</v>
      </c>
      <c r="J219" s="11" t="str">
        <f t="shared" ref="J219:J220" si="26">IF(I219="Terminado", IF(J219="", NOW(), J219), "")</f>
        <v/>
      </c>
      <c r="K219" s="7" t="s">
        <v>29</v>
      </c>
      <c r="N219" s="7" t="s">
        <v>65</v>
      </c>
      <c r="P219" s="7" t="s">
        <v>30</v>
      </c>
      <c r="Q219" s="7" t="s">
        <v>331</v>
      </c>
      <c r="R219" s="7" t="s">
        <v>49</v>
      </c>
    </row>
    <row r="220" ht="15.0" customHeight="1">
      <c r="A220" s="5">
        <v>46303.333333333336</v>
      </c>
      <c r="B220" s="6">
        <v>46304.0</v>
      </c>
      <c r="C220" s="7" t="s">
        <v>547</v>
      </c>
      <c r="D220" s="8" t="s">
        <v>548</v>
      </c>
      <c r="E220" s="7" t="s">
        <v>549</v>
      </c>
      <c r="F220" s="7" t="s">
        <v>347</v>
      </c>
      <c r="G220" s="13" t="s">
        <v>26</v>
      </c>
      <c r="H220" s="10" t="s">
        <v>27</v>
      </c>
      <c r="I220" s="10" t="s">
        <v>28</v>
      </c>
      <c r="J220" s="18">
        <f t="shared" si="26"/>
        <v>46303.59633</v>
      </c>
      <c r="K220" s="7" t="s">
        <v>29</v>
      </c>
      <c r="N220" s="7" t="s">
        <v>30</v>
      </c>
      <c r="P220" s="7" t="s">
        <v>30</v>
      </c>
      <c r="Q220" s="7" t="s">
        <v>26</v>
      </c>
      <c r="R220" s="7" t="s">
        <v>49</v>
      </c>
    </row>
    <row r="221" ht="18.0" customHeight="1">
      <c r="A221" s="5">
        <v>46303.333333333336</v>
      </c>
      <c r="B221" s="6">
        <v>46304.0</v>
      </c>
      <c r="C221" s="7" t="s">
        <v>550</v>
      </c>
      <c r="D221" s="8" t="s">
        <v>551</v>
      </c>
      <c r="E221" s="7" t="s">
        <v>58</v>
      </c>
      <c r="F221" s="7" t="s">
        <v>347</v>
      </c>
      <c r="G221" s="13" t="s">
        <v>26</v>
      </c>
      <c r="H221" s="10" t="s">
        <v>27</v>
      </c>
      <c r="I221" s="10" t="s">
        <v>28</v>
      </c>
      <c r="J221" s="12">
        <v>46303.0</v>
      </c>
      <c r="K221" s="7" t="s">
        <v>29</v>
      </c>
      <c r="N221" s="7" t="s">
        <v>30</v>
      </c>
      <c r="P221" s="7" t="s">
        <v>30</v>
      </c>
      <c r="Q221" s="7" t="s">
        <v>26</v>
      </c>
      <c r="R221" s="7" t="s">
        <v>52</v>
      </c>
    </row>
    <row r="222">
      <c r="A222" s="5">
        <v>46303.333333333336</v>
      </c>
      <c r="B222" s="6">
        <v>46304.0</v>
      </c>
      <c r="C222" s="7" t="s">
        <v>552</v>
      </c>
      <c r="D222" s="7" t="s">
        <v>553</v>
      </c>
      <c r="E222" s="7" t="s">
        <v>24</v>
      </c>
      <c r="F222" s="7" t="s">
        <v>347</v>
      </c>
      <c r="G222" s="13" t="s">
        <v>40</v>
      </c>
      <c r="H222" s="10" t="s">
        <v>27</v>
      </c>
      <c r="I222" s="10" t="s">
        <v>28</v>
      </c>
      <c r="J222" s="12">
        <v>46308.0</v>
      </c>
      <c r="K222" s="7" t="s">
        <v>29</v>
      </c>
      <c r="L222" s="8" t="s">
        <v>554</v>
      </c>
      <c r="N222" s="7" t="s">
        <v>30</v>
      </c>
      <c r="P222" s="7" t="s">
        <v>30</v>
      </c>
      <c r="Q222" s="7" t="s">
        <v>42</v>
      </c>
      <c r="R222" s="7" t="s">
        <v>286</v>
      </c>
    </row>
    <row r="223">
      <c r="A223" s="5">
        <v>46303.333333333336</v>
      </c>
      <c r="B223" s="6">
        <v>46304.0</v>
      </c>
      <c r="C223" s="7" t="s">
        <v>555</v>
      </c>
      <c r="D223" s="28" t="s">
        <v>556</v>
      </c>
      <c r="E223" s="7" t="s">
        <v>24</v>
      </c>
      <c r="F223" s="7" t="s">
        <v>347</v>
      </c>
      <c r="G223" s="13" t="s">
        <v>40</v>
      </c>
      <c r="H223" s="10" t="s">
        <v>27</v>
      </c>
      <c r="I223" s="10" t="s">
        <v>531</v>
      </c>
      <c r="J223" s="11" t="str">
        <f>IF(I223="Terminado", IF(J223="", NOW(), J223), "")</f>
        <v/>
      </c>
      <c r="K223" s="7" t="s">
        <v>29</v>
      </c>
      <c r="L223" s="8" t="s">
        <v>557</v>
      </c>
      <c r="N223" s="7" t="s">
        <v>30</v>
      </c>
      <c r="P223" s="7" t="s">
        <v>30</v>
      </c>
      <c r="Q223" s="7" t="s">
        <v>42</v>
      </c>
      <c r="R223" s="7" t="s">
        <v>286</v>
      </c>
    </row>
    <row r="224">
      <c r="A224" s="5">
        <v>46303.333333333336</v>
      </c>
      <c r="B224" s="6">
        <v>46304.0</v>
      </c>
      <c r="C224" s="7" t="s">
        <v>558</v>
      </c>
      <c r="D224" s="7" t="s">
        <v>559</v>
      </c>
      <c r="E224" s="7" t="s">
        <v>560</v>
      </c>
      <c r="F224" s="7" t="s">
        <v>347</v>
      </c>
      <c r="G224" s="13" t="s">
        <v>40</v>
      </c>
      <c r="H224" s="10" t="s">
        <v>27</v>
      </c>
      <c r="I224" s="10" t="s">
        <v>28</v>
      </c>
      <c r="J224" s="16">
        <v>46304.0</v>
      </c>
      <c r="K224" s="7" t="s">
        <v>29</v>
      </c>
      <c r="N224" s="7" t="s">
        <v>30</v>
      </c>
      <c r="P224" s="7" t="s">
        <v>30</v>
      </c>
      <c r="Q224" s="7" t="s">
        <v>42</v>
      </c>
      <c r="R224" s="7" t="s">
        <v>286</v>
      </c>
    </row>
    <row r="225" ht="13.5" customHeight="1">
      <c r="A225" s="5">
        <v>46303.333333333336</v>
      </c>
      <c r="B225" s="6">
        <v>46303.0</v>
      </c>
      <c r="C225" s="7" t="s">
        <v>561</v>
      </c>
      <c r="D225" s="8" t="s">
        <v>562</v>
      </c>
      <c r="E225" s="7" t="s">
        <v>87</v>
      </c>
      <c r="F225" s="7" t="s">
        <v>347</v>
      </c>
      <c r="G225" s="13" t="s">
        <v>40</v>
      </c>
      <c r="H225" s="10" t="s">
        <v>27</v>
      </c>
      <c r="I225" s="10" t="s">
        <v>28</v>
      </c>
      <c r="J225" s="12">
        <v>46303.0</v>
      </c>
      <c r="K225" s="7" t="s">
        <v>29</v>
      </c>
      <c r="N225" s="7" t="s">
        <v>30</v>
      </c>
      <c r="P225" s="7" t="s">
        <v>30</v>
      </c>
      <c r="Q225" s="7" t="s">
        <v>42</v>
      </c>
      <c r="R225" s="7" t="s">
        <v>49</v>
      </c>
    </row>
    <row r="226" ht="15.75" customHeight="1">
      <c r="A226" s="5">
        <v>46303.333333333336</v>
      </c>
      <c r="B226" s="6">
        <v>46311.0</v>
      </c>
      <c r="C226" s="7" t="s">
        <v>563</v>
      </c>
      <c r="D226" s="27" t="s">
        <v>564</v>
      </c>
      <c r="E226" s="7" t="s">
        <v>58</v>
      </c>
      <c r="F226" s="7" t="s">
        <v>347</v>
      </c>
      <c r="G226" s="13" t="s">
        <v>26</v>
      </c>
      <c r="H226" s="10" t="s">
        <v>27</v>
      </c>
      <c r="I226" s="10" t="s">
        <v>565</v>
      </c>
      <c r="J226" s="11" t="str">
        <f t="shared" ref="J226:J230" si="27">IF(I226="Terminado", IF(J226="", NOW(), J226), "")</f>
        <v/>
      </c>
      <c r="K226" s="7" t="s">
        <v>29</v>
      </c>
      <c r="N226" s="7" t="s">
        <v>30</v>
      </c>
      <c r="P226" s="7" t="s">
        <v>30</v>
      </c>
      <c r="Q226" s="7" t="s">
        <v>26</v>
      </c>
      <c r="R226" s="7" t="s">
        <v>52</v>
      </c>
    </row>
    <row r="227" ht="15.0" customHeight="1">
      <c r="A227" s="5">
        <v>46303.333333333336</v>
      </c>
      <c r="B227" s="6">
        <v>46311.0</v>
      </c>
      <c r="C227" s="7" t="s">
        <v>566</v>
      </c>
      <c r="D227" s="27" t="s">
        <v>567</v>
      </c>
      <c r="E227" s="7" t="s">
        <v>58</v>
      </c>
      <c r="F227" s="7" t="s">
        <v>347</v>
      </c>
      <c r="G227" s="13" t="s">
        <v>26</v>
      </c>
      <c r="H227" s="10" t="s">
        <v>27</v>
      </c>
      <c r="I227" s="10" t="s">
        <v>568</v>
      </c>
      <c r="J227" s="11" t="str">
        <f t="shared" si="27"/>
        <v/>
      </c>
      <c r="K227" s="7" t="s">
        <v>29</v>
      </c>
      <c r="N227" s="7" t="s">
        <v>30</v>
      </c>
      <c r="P227" s="7" t="s">
        <v>30</v>
      </c>
      <c r="Q227" s="7" t="s">
        <v>26</v>
      </c>
      <c r="R227" s="7" t="s">
        <v>52</v>
      </c>
    </row>
    <row r="228" ht="15.75" customHeight="1">
      <c r="A228" s="5">
        <v>46314.461836296294</v>
      </c>
      <c r="B228" s="6">
        <v>46314.0</v>
      </c>
      <c r="C228" s="7" t="s">
        <v>569</v>
      </c>
      <c r="D228" s="41" t="s">
        <v>570</v>
      </c>
      <c r="E228" s="7" t="s">
        <v>87</v>
      </c>
      <c r="F228" s="7" t="s">
        <v>347</v>
      </c>
      <c r="G228" s="13" t="s">
        <v>40</v>
      </c>
      <c r="H228" s="10" t="s">
        <v>27</v>
      </c>
      <c r="I228" s="10" t="s">
        <v>28</v>
      </c>
      <c r="J228" s="18">
        <f t="shared" si="27"/>
        <v>46315.62747</v>
      </c>
      <c r="K228" s="7" t="s">
        <v>29</v>
      </c>
      <c r="N228" s="7" t="s">
        <v>119</v>
      </c>
      <c r="P228" s="7" t="s">
        <v>30</v>
      </c>
      <c r="Q228" s="7" t="s">
        <v>42</v>
      </c>
      <c r="R228" s="7" t="s">
        <v>49</v>
      </c>
    </row>
    <row r="229" ht="15.75" customHeight="1">
      <c r="A229" s="5">
        <v>46303.48148015046</v>
      </c>
      <c r="B229" s="6">
        <v>46315.0</v>
      </c>
      <c r="C229" s="7" t="s">
        <v>571</v>
      </c>
      <c r="D229" s="27" t="s">
        <v>572</v>
      </c>
      <c r="E229" s="7" t="s">
        <v>58</v>
      </c>
      <c r="F229" s="7" t="s">
        <v>347</v>
      </c>
      <c r="G229" s="13" t="s">
        <v>26</v>
      </c>
      <c r="H229" s="10" t="s">
        <v>27</v>
      </c>
      <c r="I229" s="10" t="s">
        <v>28</v>
      </c>
      <c r="J229" s="18">
        <f t="shared" si="27"/>
        <v>46318.45333</v>
      </c>
      <c r="K229" s="7" t="s">
        <v>29</v>
      </c>
      <c r="N229" s="7" t="s">
        <v>30</v>
      </c>
      <c r="P229" s="7" t="s">
        <v>30</v>
      </c>
      <c r="Q229" s="7" t="s">
        <v>26</v>
      </c>
      <c r="R229" s="7" t="s">
        <v>52</v>
      </c>
    </row>
    <row r="230" ht="15.75" customHeight="1">
      <c r="A230" s="5">
        <v>46303.59900969907</v>
      </c>
      <c r="B230" s="6">
        <v>46304.0</v>
      </c>
      <c r="C230" s="7" t="s">
        <v>317</v>
      </c>
      <c r="D230" s="7" t="s">
        <v>573</v>
      </c>
      <c r="E230" s="7" t="s">
        <v>45</v>
      </c>
      <c r="F230" s="7" t="s">
        <v>347</v>
      </c>
      <c r="G230" s="13" t="s">
        <v>40</v>
      </c>
      <c r="H230" s="10" t="s">
        <v>27</v>
      </c>
      <c r="I230" s="10" t="s">
        <v>28</v>
      </c>
      <c r="J230" s="18">
        <f t="shared" si="27"/>
        <v>46304.6187</v>
      </c>
      <c r="K230" s="7" t="s">
        <v>55</v>
      </c>
      <c r="P230" s="7" t="s">
        <v>30</v>
      </c>
      <c r="Q230" s="7" t="s">
        <v>42</v>
      </c>
      <c r="R230" s="7" t="s">
        <v>49</v>
      </c>
    </row>
    <row r="231">
      <c r="A231" s="5">
        <v>46303.62790828704</v>
      </c>
      <c r="B231" s="6">
        <v>46309.0</v>
      </c>
      <c r="C231" s="7" t="s">
        <v>574</v>
      </c>
      <c r="D231" s="8" t="s">
        <v>575</v>
      </c>
      <c r="E231" s="7" t="s">
        <v>58</v>
      </c>
      <c r="F231" s="7" t="s">
        <v>347</v>
      </c>
      <c r="G231" s="13" t="s">
        <v>40</v>
      </c>
      <c r="H231" s="10" t="s">
        <v>27</v>
      </c>
      <c r="I231" s="10" t="s">
        <v>28</v>
      </c>
      <c r="J231" s="12">
        <v>46309.0</v>
      </c>
      <c r="K231" s="7" t="s">
        <v>29</v>
      </c>
      <c r="N231" s="7" t="s">
        <v>30</v>
      </c>
      <c r="P231" s="7" t="s">
        <v>30</v>
      </c>
      <c r="Q231" s="7" t="s">
        <v>42</v>
      </c>
      <c r="R231" s="7" t="s">
        <v>49</v>
      </c>
    </row>
    <row r="232" ht="15.75" customHeight="1">
      <c r="A232" s="5">
        <v>46304.4545146412</v>
      </c>
      <c r="B232" s="6">
        <v>46304.0</v>
      </c>
      <c r="C232" s="7" t="s">
        <v>576</v>
      </c>
      <c r="D232" s="7" t="s">
        <v>577</v>
      </c>
      <c r="E232" s="7" t="s">
        <v>24</v>
      </c>
      <c r="F232" s="7" t="s">
        <v>347</v>
      </c>
      <c r="G232" s="13" t="s">
        <v>40</v>
      </c>
      <c r="H232" s="10" t="s">
        <v>27</v>
      </c>
      <c r="I232" s="10" t="s">
        <v>28</v>
      </c>
      <c r="J232" s="18">
        <f t="shared" ref="J232:J234" si="28">IF(I232="Terminado", IF(J232="", NOW(), J232), "")</f>
        <v>46304.49442</v>
      </c>
      <c r="K232" s="7" t="s">
        <v>578</v>
      </c>
      <c r="L232" s="8" t="s">
        <v>579</v>
      </c>
      <c r="P232" s="7" t="s">
        <v>30</v>
      </c>
      <c r="Q232" s="7" t="s">
        <v>42</v>
      </c>
      <c r="R232" s="7" t="s">
        <v>286</v>
      </c>
    </row>
    <row r="233" ht="13.5" customHeight="1">
      <c r="A233" s="5">
        <v>46304.47675236111</v>
      </c>
      <c r="B233" s="6">
        <v>46316.0</v>
      </c>
      <c r="C233" s="7" t="s">
        <v>580</v>
      </c>
      <c r="D233" s="27" t="s">
        <v>581</v>
      </c>
      <c r="E233" s="7" t="s">
        <v>58</v>
      </c>
      <c r="F233" s="7" t="s">
        <v>347</v>
      </c>
      <c r="G233" s="13" t="s">
        <v>26</v>
      </c>
      <c r="H233" s="10" t="s">
        <v>27</v>
      </c>
      <c r="I233" s="10" t="s">
        <v>336</v>
      </c>
      <c r="J233" s="11" t="str">
        <f t="shared" si="28"/>
        <v/>
      </c>
      <c r="K233" s="7" t="s">
        <v>29</v>
      </c>
      <c r="N233" s="7" t="s">
        <v>30</v>
      </c>
      <c r="P233" s="7" t="s">
        <v>30</v>
      </c>
      <c r="Q233" s="7" t="s">
        <v>26</v>
      </c>
      <c r="R233" s="7" t="s">
        <v>52</v>
      </c>
    </row>
    <row r="234">
      <c r="A234" s="5">
        <v>46304.66279725694</v>
      </c>
      <c r="B234" s="6">
        <v>46310.0</v>
      </c>
      <c r="C234" s="7" t="s">
        <v>582</v>
      </c>
      <c r="D234" s="28" t="s">
        <v>583</v>
      </c>
      <c r="E234" s="7" t="s">
        <v>178</v>
      </c>
      <c r="F234" s="7" t="s">
        <v>347</v>
      </c>
      <c r="G234" s="13" t="s">
        <v>127</v>
      </c>
      <c r="H234" s="10" t="s">
        <v>27</v>
      </c>
      <c r="I234" s="10" t="s">
        <v>336</v>
      </c>
      <c r="J234" s="11" t="str">
        <f t="shared" si="28"/>
        <v/>
      </c>
      <c r="K234" s="7" t="s">
        <v>29</v>
      </c>
      <c r="L234" s="8" t="s">
        <v>584</v>
      </c>
      <c r="N234" s="7" t="s">
        <v>129</v>
      </c>
      <c r="P234" s="7" t="s">
        <v>30</v>
      </c>
      <c r="Q234" s="7" t="s">
        <v>127</v>
      </c>
      <c r="R234" s="7" t="s">
        <v>49</v>
      </c>
    </row>
    <row r="235">
      <c r="A235" s="5">
        <v>46308.34267949074</v>
      </c>
      <c r="B235" s="6">
        <v>46308.0</v>
      </c>
      <c r="C235" s="7" t="s">
        <v>585</v>
      </c>
      <c r="D235" s="7" t="s">
        <v>586</v>
      </c>
      <c r="E235" s="7" t="s">
        <v>45</v>
      </c>
      <c r="F235" s="7" t="s">
        <v>347</v>
      </c>
      <c r="G235" s="13" t="s">
        <v>40</v>
      </c>
      <c r="H235" s="10" t="s">
        <v>27</v>
      </c>
      <c r="I235" s="10" t="s">
        <v>28</v>
      </c>
      <c r="J235" s="12">
        <v>46308.0</v>
      </c>
      <c r="K235" s="7" t="s">
        <v>55</v>
      </c>
      <c r="P235" s="7" t="s">
        <v>30</v>
      </c>
      <c r="Q235" s="7" t="s">
        <v>42</v>
      </c>
      <c r="R235" s="7" t="s">
        <v>49</v>
      </c>
    </row>
    <row r="236" ht="16.5" customHeight="1">
      <c r="A236" s="5">
        <v>46304.50000318287</v>
      </c>
      <c r="B236" s="6">
        <v>46318.0</v>
      </c>
      <c r="C236" s="7" t="s">
        <v>587</v>
      </c>
      <c r="D236" s="27" t="s">
        <v>588</v>
      </c>
      <c r="E236" s="7" t="s">
        <v>58</v>
      </c>
      <c r="F236" s="7" t="s">
        <v>347</v>
      </c>
      <c r="G236" s="13" t="s">
        <v>26</v>
      </c>
      <c r="H236" s="10" t="s">
        <v>27</v>
      </c>
      <c r="I236" s="10" t="s">
        <v>28</v>
      </c>
      <c r="J236" s="18">
        <f t="shared" ref="J236:J238" si="29">IF(I236="Terminado", IF(J236="", NOW(), J236), "")</f>
        <v>46314.603</v>
      </c>
      <c r="K236" s="7" t="s">
        <v>29</v>
      </c>
      <c r="N236" s="7" t="s">
        <v>30</v>
      </c>
      <c r="P236" s="7" t="s">
        <v>30</v>
      </c>
      <c r="Q236" s="7" t="s">
        <v>26</v>
      </c>
      <c r="R236" s="7" t="s">
        <v>52</v>
      </c>
    </row>
    <row r="237" ht="15.75" customHeight="1">
      <c r="A237" s="5">
        <v>46309.41111366898</v>
      </c>
      <c r="B237" s="6">
        <v>46309.0</v>
      </c>
      <c r="C237" s="7" t="s">
        <v>589</v>
      </c>
      <c r="D237" s="7" t="s">
        <v>590</v>
      </c>
      <c r="E237" s="7" t="s">
        <v>24</v>
      </c>
      <c r="F237" s="7" t="s">
        <v>347</v>
      </c>
      <c r="G237" s="13" t="s">
        <v>40</v>
      </c>
      <c r="H237" s="10" t="s">
        <v>27</v>
      </c>
      <c r="I237" s="10" t="s">
        <v>28</v>
      </c>
      <c r="J237" s="18">
        <f t="shared" si="29"/>
        <v>46309.45386</v>
      </c>
      <c r="K237" s="7" t="s">
        <v>55</v>
      </c>
      <c r="L237" s="8" t="s">
        <v>591</v>
      </c>
      <c r="P237" s="7" t="s">
        <v>30</v>
      </c>
      <c r="Q237" s="7" t="s">
        <v>42</v>
      </c>
      <c r="R237" s="7" t="s">
        <v>286</v>
      </c>
    </row>
    <row r="238">
      <c r="A238" s="5">
        <v>46309.43934700231</v>
      </c>
      <c r="B238" s="6">
        <v>46322.0</v>
      </c>
      <c r="C238" s="7" t="s">
        <v>592</v>
      </c>
      <c r="D238" s="8" t="s">
        <v>345</v>
      </c>
      <c r="E238" s="7" t="s">
        <v>346</v>
      </c>
      <c r="F238" s="7" t="s">
        <v>347</v>
      </c>
      <c r="G238" s="13" t="s">
        <v>26</v>
      </c>
      <c r="H238" s="10" t="s">
        <v>27</v>
      </c>
      <c r="I238" s="10" t="s">
        <v>41</v>
      </c>
      <c r="J238" s="11" t="str">
        <f t="shared" si="29"/>
        <v/>
      </c>
      <c r="K238" s="7" t="s">
        <v>29</v>
      </c>
      <c r="N238" s="7" t="s">
        <v>30</v>
      </c>
      <c r="P238" s="7" t="s">
        <v>30</v>
      </c>
      <c r="Q238" s="7" t="s">
        <v>26</v>
      </c>
      <c r="R238" s="7" t="s">
        <v>49</v>
      </c>
    </row>
    <row r="239">
      <c r="A239" s="5">
        <v>46309.47821927084</v>
      </c>
      <c r="B239" s="6">
        <v>46309.0</v>
      </c>
      <c r="C239" s="7" t="s">
        <v>593</v>
      </c>
      <c r="D239" s="7" t="s">
        <v>594</v>
      </c>
      <c r="E239" s="7" t="s">
        <v>87</v>
      </c>
      <c r="F239" s="7" t="s">
        <v>347</v>
      </c>
      <c r="G239" s="13" t="s">
        <v>40</v>
      </c>
      <c r="H239" s="10" t="s">
        <v>27</v>
      </c>
      <c r="I239" s="10" t="s">
        <v>28</v>
      </c>
      <c r="J239" s="12">
        <v>46309.0</v>
      </c>
      <c r="K239" s="7" t="s">
        <v>29</v>
      </c>
      <c r="L239" s="8" t="s">
        <v>595</v>
      </c>
      <c r="N239" s="7" t="s">
        <v>30</v>
      </c>
      <c r="P239" s="7" t="s">
        <v>30</v>
      </c>
      <c r="Q239" s="7" t="s">
        <v>42</v>
      </c>
      <c r="R239" s="7" t="s">
        <v>49</v>
      </c>
    </row>
    <row r="240">
      <c r="A240" s="5">
        <v>46309.505855972224</v>
      </c>
      <c r="B240" s="6">
        <v>46318.0</v>
      </c>
      <c r="C240" s="7" t="s">
        <v>596</v>
      </c>
      <c r="D240" s="27" t="s">
        <v>597</v>
      </c>
      <c r="E240" s="7" t="s">
        <v>79</v>
      </c>
      <c r="F240" s="7" t="s">
        <v>347</v>
      </c>
      <c r="G240" s="13" t="s">
        <v>26</v>
      </c>
      <c r="H240" s="10" t="s">
        <v>27</v>
      </c>
      <c r="I240" s="10" t="s">
        <v>28</v>
      </c>
      <c r="J240" s="18">
        <f t="shared" ref="J240:J249" si="30">IF(I240="Terminado", IF(J240="", NOW(), J240), "")</f>
        <v>46314.60256</v>
      </c>
      <c r="K240" s="7" t="s">
        <v>29</v>
      </c>
      <c r="N240" s="7" t="s">
        <v>30</v>
      </c>
      <c r="P240" s="7" t="s">
        <v>30</v>
      </c>
      <c r="Q240" s="7" t="s">
        <v>26</v>
      </c>
      <c r="R240" s="7" t="s">
        <v>52</v>
      </c>
    </row>
    <row r="241" ht="15.75" customHeight="1">
      <c r="A241" s="5">
        <v>46310.527342037036</v>
      </c>
      <c r="B241" s="6">
        <v>46310.0</v>
      </c>
      <c r="C241" s="7" t="s">
        <v>598</v>
      </c>
      <c r="D241" s="8" t="s">
        <v>599</v>
      </c>
      <c r="E241" s="7" t="s">
        <v>58</v>
      </c>
      <c r="F241" s="7" t="s">
        <v>347</v>
      </c>
      <c r="G241" s="13" t="s">
        <v>26</v>
      </c>
      <c r="H241" s="10" t="s">
        <v>27</v>
      </c>
      <c r="I241" s="10" t="s">
        <v>28</v>
      </c>
      <c r="J241" s="18">
        <f t="shared" si="30"/>
        <v>46311.47776</v>
      </c>
      <c r="K241" s="7" t="s">
        <v>29</v>
      </c>
      <c r="N241" s="7" t="s">
        <v>30</v>
      </c>
      <c r="P241" s="7" t="s">
        <v>30</v>
      </c>
      <c r="Q241" s="7" t="s">
        <v>26</v>
      </c>
      <c r="R241" s="7" t="s">
        <v>52</v>
      </c>
    </row>
    <row r="242">
      <c r="A242" s="5">
        <v>46310.59281403935</v>
      </c>
      <c r="B242" s="6">
        <v>46311.0</v>
      </c>
      <c r="C242" s="7" t="s">
        <v>600</v>
      </c>
      <c r="D242" s="28" t="s">
        <v>601</v>
      </c>
      <c r="E242" s="7" t="s">
        <v>87</v>
      </c>
      <c r="F242" s="7" t="s">
        <v>347</v>
      </c>
      <c r="G242" s="13" t="s">
        <v>64</v>
      </c>
      <c r="H242" s="10" t="s">
        <v>27</v>
      </c>
      <c r="I242" s="10" t="s">
        <v>28</v>
      </c>
      <c r="J242" s="18">
        <f t="shared" si="30"/>
        <v>46314.60345</v>
      </c>
      <c r="K242" s="7" t="s">
        <v>29</v>
      </c>
      <c r="N242" s="7" t="s">
        <v>65</v>
      </c>
      <c r="P242" s="7" t="s">
        <v>30</v>
      </c>
      <c r="Q242" s="7" t="s">
        <v>64</v>
      </c>
      <c r="R242" s="7" t="s">
        <v>52</v>
      </c>
    </row>
    <row r="243" ht="17.25" customHeight="1">
      <c r="A243" s="5">
        <v>46310.62396221065</v>
      </c>
      <c r="B243" s="6">
        <v>46310.0</v>
      </c>
      <c r="C243" s="7" t="s">
        <v>602</v>
      </c>
      <c r="D243" s="7" t="s">
        <v>603</v>
      </c>
      <c r="E243" s="7" t="s">
        <v>58</v>
      </c>
      <c r="F243" s="7" t="s">
        <v>347</v>
      </c>
      <c r="G243" s="13" t="s">
        <v>40</v>
      </c>
      <c r="H243" s="10" t="s">
        <v>27</v>
      </c>
      <c r="I243" s="10" t="s">
        <v>28</v>
      </c>
      <c r="J243" s="18">
        <f t="shared" si="30"/>
        <v>46310.65967</v>
      </c>
      <c r="K243" s="7" t="s">
        <v>29</v>
      </c>
      <c r="N243" s="7" t="s">
        <v>30</v>
      </c>
      <c r="P243" s="7" t="s">
        <v>30</v>
      </c>
      <c r="Q243" s="7" t="s">
        <v>42</v>
      </c>
      <c r="R243" s="7" t="s">
        <v>286</v>
      </c>
    </row>
    <row r="244">
      <c r="A244" s="5">
        <v>46310.397330023145</v>
      </c>
      <c r="B244" s="6">
        <v>46322.0</v>
      </c>
      <c r="C244" s="7" t="s">
        <v>604</v>
      </c>
      <c r="D244" s="27" t="s">
        <v>605</v>
      </c>
      <c r="E244" s="7" t="s">
        <v>58</v>
      </c>
      <c r="F244" s="7" t="s">
        <v>347</v>
      </c>
      <c r="G244" s="13" t="s">
        <v>26</v>
      </c>
      <c r="H244" s="10" t="s">
        <v>27</v>
      </c>
      <c r="I244" s="10" t="s">
        <v>336</v>
      </c>
      <c r="J244" s="11" t="str">
        <f t="shared" si="30"/>
        <v/>
      </c>
      <c r="K244" s="7" t="s">
        <v>29</v>
      </c>
      <c r="N244" s="7" t="s">
        <v>30</v>
      </c>
      <c r="P244" s="7" t="s">
        <v>30</v>
      </c>
      <c r="Q244" s="7" t="s">
        <v>26</v>
      </c>
      <c r="R244" s="7" t="s">
        <v>52</v>
      </c>
    </row>
    <row r="245">
      <c r="A245" s="5">
        <v>46314.610776747686</v>
      </c>
      <c r="B245" s="6">
        <v>46314.0</v>
      </c>
      <c r="C245" s="7" t="s">
        <v>606</v>
      </c>
      <c r="D245" s="7" t="s">
        <v>607</v>
      </c>
      <c r="F245" s="7" t="s">
        <v>347</v>
      </c>
      <c r="G245" s="13" t="s">
        <v>127</v>
      </c>
      <c r="H245" s="10" t="s">
        <v>27</v>
      </c>
      <c r="I245" s="10" t="s">
        <v>565</v>
      </c>
      <c r="J245" s="11" t="str">
        <f t="shared" si="30"/>
        <v/>
      </c>
      <c r="K245" s="7" t="s">
        <v>29</v>
      </c>
      <c r="M245" s="7" t="s">
        <v>221</v>
      </c>
      <c r="N245" s="7" t="s">
        <v>129</v>
      </c>
      <c r="P245" s="7" t="s">
        <v>130</v>
      </c>
      <c r="Q245" s="7" t="s">
        <v>127</v>
      </c>
      <c r="R245" s="7" t="s">
        <v>52</v>
      </c>
      <c r="U245" s="7" t="s">
        <v>245</v>
      </c>
      <c r="V245" s="7" t="s">
        <v>608</v>
      </c>
    </row>
    <row r="246">
      <c r="A246" s="5">
        <v>46315.389967118055</v>
      </c>
      <c r="B246" s="6">
        <v>46315.0</v>
      </c>
      <c r="C246" s="7" t="s">
        <v>609</v>
      </c>
      <c r="D246" s="7" t="s">
        <v>610</v>
      </c>
      <c r="E246" s="7" t="s">
        <v>24</v>
      </c>
      <c r="F246" s="7" t="s">
        <v>347</v>
      </c>
      <c r="G246" s="13" t="s">
        <v>40</v>
      </c>
      <c r="H246" s="10" t="s">
        <v>27</v>
      </c>
      <c r="I246" s="10" t="s">
        <v>28</v>
      </c>
      <c r="J246" s="11">
        <f t="shared" si="30"/>
        <v>0</v>
      </c>
      <c r="K246" s="7" t="s">
        <v>55</v>
      </c>
      <c r="P246" s="7" t="s">
        <v>30</v>
      </c>
      <c r="Q246" s="7" t="s">
        <v>42</v>
      </c>
      <c r="R246" s="7" t="s">
        <v>286</v>
      </c>
    </row>
    <row r="247">
      <c r="A247" s="5">
        <v>46315.4844729051</v>
      </c>
      <c r="B247" s="6">
        <v>46315.0</v>
      </c>
      <c r="C247" s="7" t="s">
        <v>611</v>
      </c>
      <c r="D247" s="7" t="s">
        <v>612</v>
      </c>
      <c r="E247" s="7" t="s">
        <v>178</v>
      </c>
      <c r="F247" s="7" t="s">
        <v>347</v>
      </c>
      <c r="G247" s="17" t="s">
        <v>476</v>
      </c>
      <c r="H247" s="10" t="s">
        <v>27</v>
      </c>
      <c r="I247" s="10" t="s">
        <v>28</v>
      </c>
      <c r="J247" s="18">
        <f t="shared" si="30"/>
        <v>46315.66433</v>
      </c>
      <c r="K247" s="7" t="s">
        <v>243</v>
      </c>
      <c r="P247" s="7" t="s">
        <v>30</v>
      </c>
      <c r="Q247" s="7" t="s">
        <v>242</v>
      </c>
      <c r="R247" s="7" t="s">
        <v>613</v>
      </c>
    </row>
    <row r="248">
      <c r="A248" s="5">
        <v>46315.504939652776</v>
      </c>
      <c r="B248" s="6">
        <v>46317.0</v>
      </c>
      <c r="C248" s="7" t="s">
        <v>609</v>
      </c>
      <c r="D248" s="7" t="s">
        <v>614</v>
      </c>
      <c r="E248" s="7" t="s">
        <v>58</v>
      </c>
      <c r="F248" s="7" t="s">
        <v>347</v>
      </c>
      <c r="G248" s="17" t="s">
        <v>615</v>
      </c>
      <c r="H248" s="10" t="s">
        <v>27</v>
      </c>
      <c r="I248" s="10" t="s">
        <v>28</v>
      </c>
      <c r="J248" s="18">
        <f t="shared" si="30"/>
        <v>46315.66419</v>
      </c>
      <c r="K248" s="7" t="s">
        <v>29</v>
      </c>
      <c r="N248" s="7" t="s">
        <v>30</v>
      </c>
      <c r="P248" s="7" t="s">
        <v>30</v>
      </c>
      <c r="Q248" s="7" t="s">
        <v>42</v>
      </c>
      <c r="R248" s="7" t="s">
        <v>286</v>
      </c>
    </row>
    <row r="249">
      <c r="A249" s="5">
        <v>46287.38698585649</v>
      </c>
      <c r="B249" s="6">
        <v>46287.0</v>
      </c>
      <c r="C249" s="7" t="s">
        <v>616</v>
      </c>
      <c r="D249" s="28" t="s">
        <v>617</v>
      </c>
      <c r="G249" s="13" t="s">
        <v>127</v>
      </c>
      <c r="H249" s="10" t="s">
        <v>27</v>
      </c>
      <c r="I249" s="10" t="s">
        <v>336</v>
      </c>
      <c r="J249" s="11" t="str">
        <f t="shared" si="30"/>
        <v/>
      </c>
      <c r="K249" s="7" t="s">
        <v>29</v>
      </c>
      <c r="L249" s="8" t="s">
        <v>618</v>
      </c>
      <c r="M249" s="7" t="s">
        <v>151</v>
      </c>
      <c r="N249" s="7" t="s">
        <v>129</v>
      </c>
      <c r="P249" s="7" t="s">
        <v>130</v>
      </c>
      <c r="Q249" s="7" t="s">
        <v>127</v>
      </c>
      <c r="R249" s="7" t="s">
        <v>52</v>
      </c>
      <c r="U249" s="7" t="s">
        <v>131</v>
      </c>
      <c r="V249" s="7" t="s">
        <v>619</v>
      </c>
    </row>
    <row r="250">
      <c r="A250" s="5">
        <v>46286.614814733795</v>
      </c>
      <c r="B250" s="6">
        <v>46290.0</v>
      </c>
      <c r="C250" s="7" t="s">
        <v>620</v>
      </c>
      <c r="D250" s="7" t="s">
        <v>621</v>
      </c>
      <c r="E250" s="7" t="s">
        <v>622</v>
      </c>
      <c r="G250" s="13" t="s">
        <v>64</v>
      </c>
      <c r="H250" s="10" t="s">
        <v>27</v>
      </c>
      <c r="I250" s="10" t="s">
        <v>28</v>
      </c>
      <c r="J250" s="12">
        <v>46297.0</v>
      </c>
      <c r="K250" s="7" t="s">
        <v>29</v>
      </c>
      <c r="N250" s="7" t="s">
        <v>65</v>
      </c>
      <c r="P250" s="7" t="s">
        <v>30</v>
      </c>
      <c r="Q250" s="7" t="s">
        <v>64</v>
      </c>
      <c r="R250" s="7" t="s">
        <v>49</v>
      </c>
    </row>
    <row r="251">
      <c r="A251" s="39">
        <v>46290.36821759259</v>
      </c>
      <c r="B251" s="6">
        <v>46294.0</v>
      </c>
      <c r="C251" s="7" t="s">
        <v>623</v>
      </c>
      <c r="D251" s="28" t="s">
        <v>624</v>
      </c>
      <c r="G251" s="13" t="s">
        <v>127</v>
      </c>
      <c r="H251" s="10" t="s">
        <v>27</v>
      </c>
      <c r="I251" s="10" t="s">
        <v>336</v>
      </c>
      <c r="J251" s="11" t="str">
        <f>IF(I251="Terminado", IF(J251="", NOW(), J251), "")</f>
        <v/>
      </c>
      <c r="K251" s="7" t="s">
        <v>29</v>
      </c>
      <c r="L251" s="8" t="s">
        <v>625</v>
      </c>
      <c r="M251" s="7" t="s">
        <v>151</v>
      </c>
      <c r="N251" s="7" t="s">
        <v>129</v>
      </c>
      <c r="P251" s="7" t="s">
        <v>130</v>
      </c>
      <c r="Q251" s="7" t="s">
        <v>127</v>
      </c>
      <c r="R251" s="7" t="s">
        <v>49</v>
      </c>
      <c r="U251" s="7" t="s">
        <v>626</v>
      </c>
      <c r="V251" s="7" t="s">
        <v>627</v>
      </c>
    </row>
    <row r="252">
      <c r="A252" s="5">
        <v>46289.39763225694</v>
      </c>
      <c r="B252" s="6">
        <v>46301.0</v>
      </c>
      <c r="C252" s="7" t="s">
        <v>628</v>
      </c>
      <c r="D252" s="7" t="s">
        <v>629</v>
      </c>
      <c r="E252" s="7" t="s">
        <v>178</v>
      </c>
      <c r="G252" s="13" t="s">
        <v>293</v>
      </c>
      <c r="H252" s="10" t="s">
        <v>27</v>
      </c>
      <c r="I252" s="10" t="s">
        <v>28</v>
      </c>
      <c r="J252" s="12">
        <v>46289.0</v>
      </c>
      <c r="K252" s="7" t="s">
        <v>243</v>
      </c>
      <c r="P252" s="7" t="s">
        <v>30</v>
      </c>
      <c r="Q252" s="7" t="s">
        <v>42</v>
      </c>
      <c r="R252" s="7" t="s">
        <v>286</v>
      </c>
    </row>
    <row r="253">
      <c r="A253" s="5">
        <v>46289.458866863424</v>
      </c>
      <c r="B253" s="6">
        <v>46293.0</v>
      </c>
      <c r="C253" s="7" t="s">
        <v>630</v>
      </c>
      <c r="D253" s="7" t="s">
        <v>631</v>
      </c>
      <c r="E253" s="7" t="s">
        <v>632</v>
      </c>
      <c r="G253" s="13" t="s">
        <v>293</v>
      </c>
      <c r="H253" s="10" t="s">
        <v>71</v>
      </c>
      <c r="I253" s="10" t="s">
        <v>28</v>
      </c>
      <c r="J253" s="16">
        <v>46290.0</v>
      </c>
      <c r="K253" s="7" t="s">
        <v>633</v>
      </c>
      <c r="L253" s="8" t="s">
        <v>634</v>
      </c>
      <c r="P253" s="7" t="s">
        <v>30</v>
      </c>
      <c r="Q253" s="7" t="s">
        <v>42</v>
      </c>
      <c r="R253" s="7" t="s">
        <v>49</v>
      </c>
    </row>
    <row r="254">
      <c r="A254" s="5">
        <v>46293.53255791667</v>
      </c>
      <c r="B254" s="6">
        <v>46295.0</v>
      </c>
      <c r="C254" s="7" t="s">
        <v>635</v>
      </c>
      <c r="D254" s="8" t="s">
        <v>636</v>
      </c>
      <c r="E254" s="7" t="s">
        <v>87</v>
      </c>
      <c r="G254" s="13" t="s">
        <v>40</v>
      </c>
      <c r="H254" s="10" t="s">
        <v>71</v>
      </c>
      <c r="I254" s="10" t="s">
        <v>41</v>
      </c>
      <c r="J254" s="11" t="str">
        <f>IF(I254="Terminado", IF(J254="", NOW(), J254), "")</f>
        <v/>
      </c>
      <c r="K254" s="7" t="s">
        <v>29</v>
      </c>
      <c r="N254" s="7" t="s">
        <v>30</v>
      </c>
      <c r="P254" s="7" t="s">
        <v>30</v>
      </c>
      <c r="Q254" s="7" t="s">
        <v>42</v>
      </c>
      <c r="R254" s="7" t="s">
        <v>49</v>
      </c>
    </row>
    <row r="255">
      <c r="A255" s="5">
        <v>46294.69049340278</v>
      </c>
      <c r="B255" s="6">
        <v>46297.0</v>
      </c>
      <c r="C255" s="7" t="s">
        <v>637</v>
      </c>
      <c r="D255" s="8" t="s">
        <v>638</v>
      </c>
      <c r="E255" s="7" t="s">
        <v>24</v>
      </c>
      <c r="G255" s="13" t="s">
        <v>40</v>
      </c>
      <c r="H255" s="10" t="s">
        <v>71</v>
      </c>
      <c r="I255" s="10" t="s">
        <v>28</v>
      </c>
      <c r="J255" s="12">
        <v>46297.0</v>
      </c>
      <c r="K255" s="7" t="s">
        <v>29</v>
      </c>
      <c r="N255" s="7" t="s">
        <v>30</v>
      </c>
      <c r="P255" s="7" t="s">
        <v>30</v>
      </c>
      <c r="Q255" s="7" t="s">
        <v>42</v>
      </c>
      <c r="R255" s="7" t="s">
        <v>49</v>
      </c>
    </row>
    <row r="256">
      <c r="A256" s="5">
        <v>46316.41876390047</v>
      </c>
      <c r="B256" s="6">
        <v>46318.0</v>
      </c>
      <c r="C256" s="7" t="s">
        <v>639</v>
      </c>
      <c r="D256" s="7" t="s">
        <v>640</v>
      </c>
      <c r="E256" s="7" t="s">
        <v>58</v>
      </c>
      <c r="F256" s="7" t="s">
        <v>25</v>
      </c>
      <c r="G256" s="13" t="s">
        <v>40</v>
      </c>
      <c r="H256" s="10" t="s">
        <v>27</v>
      </c>
      <c r="I256" s="10" t="s">
        <v>343</v>
      </c>
      <c r="J256" s="11" t="str">
        <f t="shared" ref="J256:J258" si="31">IF(I256="Terminado", IF(J256="", NOW(), J256), "")</f>
        <v/>
      </c>
      <c r="K256" s="7" t="s">
        <v>29</v>
      </c>
      <c r="N256" s="7" t="s">
        <v>30</v>
      </c>
      <c r="P256" s="7" t="s">
        <v>30</v>
      </c>
      <c r="Q256" s="7" t="s">
        <v>42</v>
      </c>
      <c r="R256" s="7" t="s">
        <v>286</v>
      </c>
    </row>
    <row r="257">
      <c r="A257" s="5">
        <v>46316.444857256945</v>
      </c>
      <c r="B257" s="6">
        <v>46317.0</v>
      </c>
      <c r="C257" s="7" t="s">
        <v>641</v>
      </c>
      <c r="D257" s="26" t="s">
        <v>642</v>
      </c>
      <c r="E257" s="7" t="s">
        <v>24</v>
      </c>
      <c r="F257" s="7" t="s">
        <v>25</v>
      </c>
      <c r="G257" s="13" t="s">
        <v>40</v>
      </c>
      <c r="H257" s="10" t="s">
        <v>27</v>
      </c>
      <c r="I257" s="10" t="s">
        <v>336</v>
      </c>
      <c r="J257" s="11" t="str">
        <f t="shared" si="31"/>
        <v/>
      </c>
      <c r="K257" s="7" t="s">
        <v>29</v>
      </c>
      <c r="N257" s="7" t="s">
        <v>30</v>
      </c>
      <c r="P257" s="7" t="s">
        <v>30</v>
      </c>
      <c r="Q257" s="7" t="s">
        <v>42</v>
      </c>
      <c r="R257" s="7" t="s">
        <v>643</v>
      </c>
    </row>
    <row r="258">
      <c r="A258" s="5">
        <v>46316.47672017361</v>
      </c>
      <c r="B258" s="6">
        <v>46321.0</v>
      </c>
      <c r="C258" s="7" t="s">
        <v>644</v>
      </c>
      <c r="D258" s="7" t="s">
        <v>645</v>
      </c>
      <c r="E258" s="7" t="s">
        <v>45</v>
      </c>
      <c r="F258" s="7" t="s">
        <v>25</v>
      </c>
      <c r="G258" s="13" t="s">
        <v>40</v>
      </c>
      <c r="H258" s="10" t="s">
        <v>27</v>
      </c>
      <c r="I258" s="10" t="s">
        <v>28</v>
      </c>
      <c r="J258" s="18">
        <f t="shared" si="31"/>
        <v>46317.58256</v>
      </c>
      <c r="K258" s="7" t="s">
        <v>55</v>
      </c>
      <c r="P258" s="7" t="s">
        <v>30</v>
      </c>
      <c r="Q258" s="7" t="s">
        <v>42</v>
      </c>
      <c r="R258" s="7" t="s">
        <v>49</v>
      </c>
    </row>
    <row r="259">
      <c r="A259" s="5">
        <v>46316.48056273148</v>
      </c>
      <c r="B259" s="6">
        <v>46315.0</v>
      </c>
      <c r="C259" s="7" t="s">
        <v>72</v>
      </c>
      <c r="D259" s="7" t="s">
        <v>72</v>
      </c>
      <c r="E259" s="7" t="s">
        <v>93</v>
      </c>
      <c r="F259" s="7" t="s">
        <v>25</v>
      </c>
      <c r="G259" s="17" t="s">
        <v>134</v>
      </c>
      <c r="H259" s="10" t="s">
        <v>27</v>
      </c>
      <c r="I259" s="10" t="s">
        <v>28</v>
      </c>
      <c r="J259" s="12">
        <v>46315.0</v>
      </c>
      <c r="K259" s="7" t="s">
        <v>46</v>
      </c>
      <c r="P259" s="7" t="s">
        <v>30</v>
      </c>
      <c r="Q259" s="7" t="s">
        <v>26</v>
      </c>
      <c r="R259" s="7" t="s">
        <v>49</v>
      </c>
    </row>
    <row r="260">
      <c r="A260" s="5">
        <v>46316.481376724536</v>
      </c>
      <c r="B260" s="6">
        <v>46315.0</v>
      </c>
      <c r="C260" s="7" t="s">
        <v>60</v>
      </c>
      <c r="D260" s="7" t="s">
        <v>60</v>
      </c>
      <c r="E260" s="7" t="s">
        <v>94</v>
      </c>
      <c r="F260" s="7" t="s">
        <v>25</v>
      </c>
      <c r="G260" s="17" t="s">
        <v>134</v>
      </c>
      <c r="H260" s="10" t="s">
        <v>27</v>
      </c>
      <c r="I260" s="10" t="s">
        <v>28</v>
      </c>
      <c r="J260" s="12">
        <v>46315.0</v>
      </c>
      <c r="K260" s="7" t="s">
        <v>55</v>
      </c>
      <c r="P260" s="7" t="s">
        <v>30</v>
      </c>
      <c r="Q260" s="7" t="s">
        <v>26</v>
      </c>
      <c r="R260" s="7" t="s">
        <v>49</v>
      </c>
    </row>
    <row r="261" ht="18.0" customHeight="1">
      <c r="A261" s="5">
        <v>46317.402005208336</v>
      </c>
      <c r="B261" s="6">
        <v>46318.0</v>
      </c>
      <c r="C261" s="7" t="s">
        <v>317</v>
      </c>
      <c r="D261" s="7" t="s">
        <v>646</v>
      </c>
      <c r="E261" s="7" t="s">
        <v>45</v>
      </c>
      <c r="F261" s="7" t="s">
        <v>347</v>
      </c>
      <c r="G261" s="13" t="s">
        <v>40</v>
      </c>
      <c r="H261" s="10" t="s">
        <v>27</v>
      </c>
      <c r="I261" s="10" t="s">
        <v>28</v>
      </c>
      <c r="J261" s="18">
        <f t="shared" ref="J261:J365" si="32">IF(I261="Terminado", IF(J261="", NOW(), J261), "")</f>
        <v>46318.45339</v>
      </c>
      <c r="K261" s="7" t="s">
        <v>55</v>
      </c>
      <c r="L261" s="8" t="s">
        <v>647</v>
      </c>
      <c r="P261" s="7" t="s">
        <v>30</v>
      </c>
      <c r="Q261" s="7" t="s">
        <v>42</v>
      </c>
      <c r="R261" s="7" t="s">
        <v>49</v>
      </c>
    </row>
    <row r="262">
      <c r="A262" s="5">
        <v>46317.42015333333</v>
      </c>
      <c r="B262" s="6">
        <v>46322.0</v>
      </c>
      <c r="C262" s="7" t="s">
        <v>648</v>
      </c>
      <c r="D262" s="8" t="s">
        <v>262</v>
      </c>
      <c r="E262" s="7" t="s">
        <v>87</v>
      </c>
      <c r="F262" s="7" t="s">
        <v>25</v>
      </c>
      <c r="G262" s="13" t="s">
        <v>40</v>
      </c>
      <c r="H262" s="10" t="s">
        <v>27</v>
      </c>
      <c r="I262" s="10" t="s">
        <v>343</v>
      </c>
      <c r="J262" s="11" t="str">
        <f t="shared" si="32"/>
        <v/>
      </c>
      <c r="K262" s="7" t="s">
        <v>29</v>
      </c>
      <c r="N262" s="7" t="s">
        <v>30</v>
      </c>
      <c r="P262" s="7" t="s">
        <v>30</v>
      </c>
      <c r="Q262" s="7" t="s">
        <v>42</v>
      </c>
      <c r="R262" s="7" t="s">
        <v>286</v>
      </c>
    </row>
    <row r="263">
      <c r="A263" s="5">
        <v>46317.653427488425</v>
      </c>
      <c r="B263" s="6">
        <v>46324.0</v>
      </c>
      <c r="C263" s="7" t="s">
        <v>649</v>
      </c>
      <c r="D263" s="7" t="s">
        <v>650</v>
      </c>
      <c r="E263" s="7" t="s">
        <v>137</v>
      </c>
      <c r="F263" s="7" t="s">
        <v>25</v>
      </c>
      <c r="G263" s="13" t="s">
        <v>40</v>
      </c>
      <c r="H263" s="10" t="s">
        <v>27</v>
      </c>
      <c r="I263" s="10" t="s">
        <v>343</v>
      </c>
      <c r="J263" s="11" t="str">
        <f t="shared" si="32"/>
        <v/>
      </c>
      <c r="K263" s="7" t="s">
        <v>29</v>
      </c>
      <c r="L263" s="8" t="s">
        <v>651</v>
      </c>
      <c r="N263" s="7" t="s">
        <v>30</v>
      </c>
      <c r="P263" s="7" t="s">
        <v>30</v>
      </c>
      <c r="Q263" s="7" t="s">
        <v>42</v>
      </c>
      <c r="R263" s="7" t="s">
        <v>49</v>
      </c>
    </row>
    <row r="264">
      <c r="A264" s="5">
        <v>46318.371252847224</v>
      </c>
      <c r="B264" s="6">
        <v>46318.0</v>
      </c>
      <c r="C264" s="7" t="s">
        <v>72</v>
      </c>
      <c r="D264" s="7" t="s">
        <v>72</v>
      </c>
      <c r="E264" s="7" t="s">
        <v>93</v>
      </c>
      <c r="F264" s="7" t="s">
        <v>25</v>
      </c>
      <c r="G264" s="13" t="s">
        <v>26</v>
      </c>
      <c r="H264" s="10" t="s">
        <v>27</v>
      </c>
      <c r="I264" s="10" t="s">
        <v>336</v>
      </c>
      <c r="J264" s="11" t="str">
        <f t="shared" si="32"/>
        <v/>
      </c>
      <c r="K264" s="7" t="s">
        <v>46</v>
      </c>
      <c r="P264" s="7" t="s">
        <v>30</v>
      </c>
      <c r="Q264" s="7" t="s">
        <v>26</v>
      </c>
      <c r="R264" s="7" t="s">
        <v>52</v>
      </c>
    </row>
    <row r="265">
      <c r="A265" s="5">
        <v>46318.42147623842</v>
      </c>
      <c r="B265" s="6">
        <v>46325.0</v>
      </c>
      <c r="C265" s="7" t="s">
        <v>652</v>
      </c>
      <c r="D265" s="7" t="s">
        <v>653</v>
      </c>
      <c r="E265" s="7" t="s">
        <v>137</v>
      </c>
      <c r="F265" s="7" t="s">
        <v>25</v>
      </c>
      <c r="G265" s="13" t="s">
        <v>40</v>
      </c>
      <c r="H265" s="10" t="s">
        <v>27</v>
      </c>
      <c r="I265" s="10" t="s">
        <v>343</v>
      </c>
      <c r="J265" s="11" t="str">
        <f t="shared" si="32"/>
        <v/>
      </c>
      <c r="K265" s="7" t="s">
        <v>29</v>
      </c>
      <c r="L265" s="42" t="s">
        <v>654</v>
      </c>
      <c r="N265" s="7" t="s">
        <v>30</v>
      </c>
      <c r="P265" s="7" t="s">
        <v>30</v>
      </c>
      <c r="Q265" s="7" t="s">
        <v>42</v>
      </c>
      <c r="R265" s="7" t="s">
        <v>286</v>
      </c>
    </row>
    <row r="266">
      <c r="A266" s="5">
        <v>46318.591536886575</v>
      </c>
      <c r="B266" s="6">
        <v>46325.0</v>
      </c>
      <c r="C266" s="7" t="s">
        <v>655</v>
      </c>
      <c r="D266" s="7" t="s">
        <v>656</v>
      </c>
      <c r="E266" s="7" t="s">
        <v>285</v>
      </c>
      <c r="F266" s="7" t="s">
        <v>25</v>
      </c>
      <c r="G266" s="13" t="s">
        <v>40</v>
      </c>
      <c r="H266" s="10" t="s">
        <v>27</v>
      </c>
      <c r="I266" s="10" t="s">
        <v>343</v>
      </c>
      <c r="J266" s="11" t="str">
        <f t="shared" si="32"/>
        <v/>
      </c>
      <c r="K266" s="7" t="s">
        <v>29</v>
      </c>
      <c r="N266" s="7" t="s">
        <v>30</v>
      </c>
      <c r="P266" s="7" t="s">
        <v>30</v>
      </c>
      <c r="Q266" s="7" t="s">
        <v>42</v>
      </c>
      <c r="R266" s="7" t="s">
        <v>286</v>
      </c>
    </row>
    <row r="267">
      <c r="A267" s="5">
        <v>46321.360892881945</v>
      </c>
      <c r="B267" s="6">
        <v>46317.0</v>
      </c>
      <c r="C267" s="7" t="s">
        <v>657</v>
      </c>
      <c r="D267" s="7" t="s">
        <v>658</v>
      </c>
      <c r="E267" s="7" t="s">
        <v>87</v>
      </c>
      <c r="F267" s="7" t="s">
        <v>25</v>
      </c>
      <c r="G267" s="13" t="s">
        <v>64</v>
      </c>
      <c r="H267" s="10" t="s">
        <v>27</v>
      </c>
      <c r="I267" s="10" t="s">
        <v>41</v>
      </c>
      <c r="J267" s="11" t="str">
        <f t="shared" si="32"/>
        <v/>
      </c>
      <c r="K267" s="7" t="s">
        <v>29</v>
      </c>
      <c r="N267" s="7" t="s">
        <v>65</v>
      </c>
      <c r="P267" s="7" t="s">
        <v>30</v>
      </c>
      <c r="Q267" s="7" t="s">
        <v>64</v>
      </c>
      <c r="R267" s="7" t="s">
        <v>52</v>
      </c>
    </row>
    <row r="268">
      <c r="A268" s="5">
        <v>46321.37684278935</v>
      </c>
      <c r="B268" s="6">
        <v>46321.0</v>
      </c>
      <c r="C268" s="7" t="s">
        <v>659</v>
      </c>
      <c r="D268" s="7" t="s">
        <v>660</v>
      </c>
      <c r="E268" s="7" t="s">
        <v>87</v>
      </c>
      <c r="F268" s="7" t="s">
        <v>347</v>
      </c>
      <c r="G268" s="17" t="s">
        <v>661</v>
      </c>
      <c r="H268" s="10" t="s">
        <v>27</v>
      </c>
      <c r="I268" s="10" t="s">
        <v>343</v>
      </c>
      <c r="J268" s="11" t="str">
        <f t="shared" si="32"/>
        <v/>
      </c>
      <c r="K268" s="7" t="s">
        <v>29</v>
      </c>
      <c r="N268" s="7" t="s">
        <v>65</v>
      </c>
      <c r="P268" s="7" t="s">
        <v>30</v>
      </c>
      <c r="Q268" s="7" t="s">
        <v>64</v>
      </c>
      <c r="R268" s="7" t="s">
        <v>52</v>
      </c>
    </row>
    <row r="269">
      <c r="A269" s="43"/>
      <c r="B269" s="30"/>
      <c r="C269" s="31"/>
      <c r="D269" s="31"/>
      <c r="E269" s="31"/>
      <c r="F269" s="31"/>
      <c r="G269" s="44"/>
      <c r="H269" s="34"/>
      <c r="I269" s="45"/>
      <c r="J269" s="11" t="str">
        <f t="shared" si="32"/>
        <v/>
      </c>
      <c r="K269" s="31"/>
      <c r="L269" s="35"/>
      <c r="M269" s="35"/>
      <c r="N269" s="31"/>
      <c r="O269" s="35"/>
      <c r="P269" s="31"/>
      <c r="Q269" s="31"/>
      <c r="R269" s="35"/>
      <c r="S269" s="35"/>
      <c r="T269" s="35"/>
      <c r="U269" s="35"/>
      <c r="V269" s="35"/>
    </row>
    <row r="270">
      <c r="A270" s="43"/>
      <c r="B270" s="30"/>
      <c r="C270" s="31"/>
      <c r="D270" s="31"/>
      <c r="E270" s="31"/>
      <c r="F270" s="31"/>
      <c r="G270" s="44"/>
      <c r="H270" s="34"/>
      <c r="I270" s="45"/>
      <c r="J270" s="11" t="str">
        <f t="shared" si="32"/>
        <v/>
      </c>
      <c r="K270" s="31"/>
      <c r="L270" s="35"/>
      <c r="M270" s="35"/>
      <c r="N270" s="31"/>
      <c r="O270" s="35"/>
      <c r="P270" s="31"/>
      <c r="Q270" s="31"/>
      <c r="R270" s="35"/>
      <c r="S270" s="35"/>
      <c r="T270" s="35"/>
      <c r="U270" s="35"/>
      <c r="V270" s="35"/>
    </row>
    <row r="271">
      <c r="A271" s="43"/>
      <c r="B271" s="30"/>
      <c r="C271" s="31"/>
      <c r="D271" s="31"/>
      <c r="E271" s="31"/>
      <c r="F271" s="31"/>
      <c r="G271" s="44"/>
      <c r="H271" s="34"/>
      <c r="I271" s="45"/>
      <c r="J271" s="11" t="str">
        <f t="shared" si="32"/>
        <v/>
      </c>
      <c r="K271" s="31"/>
      <c r="L271" s="35"/>
      <c r="M271" s="35"/>
      <c r="N271" s="31"/>
      <c r="O271" s="35"/>
      <c r="P271" s="31"/>
      <c r="Q271" s="31"/>
      <c r="R271" s="35"/>
      <c r="S271" s="35"/>
      <c r="T271" s="35"/>
      <c r="U271" s="35"/>
      <c r="V271" s="35"/>
    </row>
    <row r="272">
      <c r="A272" s="43"/>
      <c r="B272" s="30"/>
      <c r="C272" s="31"/>
      <c r="D272" s="31"/>
      <c r="E272" s="31"/>
      <c r="F272" s="31"/>
      <c r="G272" s="44"/>
      <c r="H272" s="34"/>
      <c r="I272" s="34" t="s">
        <v>28</v>
      </c>
      <c r="J272" s="11">
        <f t="shared" si="32"/>
        <v>46232.35404</v>
      </c>
      <c r="K272" s="31"/>
      <c r="L272" s="35"/>
      <c r="M272" s="35"/>
      <c r="N272" s="31"/>
      <c r="O272" s="35"/>
      <c r="P272" s="31"/>
      <c r="Q272" s="31"/>
      <c r="R272" s="35"/>
      <c r="S272" s="35"/>
      <c r="T272" s="35"/>
      <c r="U272" s="35"/>
      <c r="V272" s="35"/>
    </row>
    <row r="273">
      <c r="A273" s="43"/>
      <c r="B273" s="30"/>
      <c r="C273" s="31"/>
      <c r="D273" s="31"/>
      <c r="E273" s="31"/>
      <c r="F273" s="31"/>
      <c r="G273" s="44"/>
      <c r="H273" s="34"/>
      <c r="I273" s="45"/>
      <c r="J273" s="11" t="str">
        <f t="shared" si="32"/>
        <v/>
      </c>
      <c r="K273" s="31"/>
      <c r="L273" s="35"/>
      <c r="M273" s="35"/>
      <c r="N273" s="31"/>
      <c r="O273" s="35"/>
      <c r="P273" s="31"/>
      <c r="Q273" s="31"/>
      <c r="R273" s="35"/>
      <c r="S273" s="35"/>
      <c r="T273" s="35"/>
      <c r="U273" s="35"/>
      <c r="V273" s="35"/>
    </row>
    <row r="274">
      <c r="A274" s="43"/>
      <c r="B274" s="30"/>
      <c r="C274" s="31"/>
      <c r="D274" s="31"/>
      <c r="E274" s="31"/>
      <c r="F274" s="31"/>
      <c r="G274" s="44"/>
      <c r="H274" s="34"/>
      <c r="I274" s="45"/>
      <c r="J274" s="11" t="str">
        <f t="shared" si="32"/>
        <v/>
      </c>
      <c r="K274" s="31"/>
      <c r="L274" s="35"/>
      <c r="M274" s="35"/>
      <c r="N274" s="31"/>
      <c r="O274" s="35"/>
      <c r="P274" s="31"/>
      <c r="Q274" s="31"/>
      <c r="R274" s="35"/>
      <c r="S274" s="35"/>
      <c r="T274" s="35"/>
      <c r="U274" s="35"/>
      <c r="V274" s="35"/>
    </row>
    <row r="275">
      <c r="A275" s="43"/>
      <c r="B275" s="30"/>
      <c r="C275" s="31"/>
      <c r="D275" s="31"/>
      <c r="E275" s="31"/>
      <c r="F275" s="31"/>
      <c r="G275" s="44"/>
      <c r="H275" s="34"/>
      <c r="I275" s="45"/>
      <c r="J275" s="11" t="str">
        <f t="shared" si="32"/>
        <v/>
      </c>
      <c r="K275" s="31"/>
      <c r="L275" s="35"/>
      <c r="M275" s="35"/>
      <c r="N275" s="31"/>
      <c r="O275" s="35"/>
      <c r="P275" s="31"/>
      <c r="Q275" s="31"/>
      <c r="R275" s="35"/>
      <c r="S275" s="35"/>
      <c r="T275" s="35"/>
      <c r="U275" s="35"/>
      <c r="V275" s="35"/>
    </row>
    <row r="276">
      <c r="A276" s="43"/>
      <c r="B276" s="30"/>
      <c r="C276" s="31"/>
      <c r="D276" s="31"/>
      <c r="E276" s="31"/>
      <c r="F276" s="31"/>
      <c r="G276" s="44"/>
      <c r="H276" s="34"/>
      <c r="I276" s="45"/>
      <c r="J276" s="11" t="str">
        <f t="shared" si="32"/>
        <v/>
      </c>
      <c r="K276" s="31"/>
      <c r="L276" s="35"/>
      <c r="M276" s="35"/>
      <c r="N276" s="31"/>
      <c r="O276" s="35"/>
      <c r="P276" s="31"/>
      <c r="Q276" s="31"/>
      <c r="R276" s="35"/>
      <c r="S276" s="35"/>
      <c r="T276" s="35"/>
      <c r="U276" s="35"/>
      <c r="V276" s="35"/>
    </row>
    <row r="277">
      <c r="A277" s="43"/>
      <c r="B277" s="30"/>
      <c r="C277" s="31"/>
      <c r="D277" s="31"/>
      <c r="E277" s="31"/>
      <c r="F277" s="31"/>
      <c r="G277" s="44"/>
      <c r="H277" s="34"/>
      <c r="I277" s="45"/>
      <c r="J277" s="11" t="str">
        <f t="shared" si="32"/>
        <v/>
      </c>
      <c r="K277" s="31"/>
      <c r="L277" s="35"/>
      <c r="M277" s="35"/>
      <c r="N277" s="31"/>
      <c r="O277" s="35"/>
      <c r="P277" s="31"/>
      <c r="Q277" s="31"/>
      <c r="R277" s="35"/>
      <c r="S277" s="35"/>
      <c r="T277" s="35"/>
      <c r="U277" s="35"/>
      <c r="V277" s="35"/>
    </row>
    <row r="278">
      <c r="A278" s="43"/>
      <c r="B278" s="30"/>
      <c r="C278" s="31"/>
      <c r="D278" s="31"/>
      <c r="E278" s="31"/>
      <c r="F278" s="31"/>
      <c r="G278" s="44"/>
      <c r="H278" s="34"/>
      <c r="I278" s="45"/>
      <c r="J278" s="11" t="str">
        <f t="shared" si="32"/>
        <v/>
      </c>
      <c r="K278" s="31"/>
      <c r="L278" s="35"/>
      <c r="M278" s="35"/>
      <c r="N278" s="31"/>
      <c r="O278" s="35"/>
      <c r="P278" s="31"/>
      <c r="Q278" s="31"/>
      <c r="R278" s="35"/>
      <c r="S278" s="35"/>
      <c r="T278" s="35"/>
      <c r="U278" s="35"/>
      <c r="V278" s="35"/>
    </row>
    <row r="279">
      <c r="A279" s="43"/>
      <c r="B279" s="30"/>
      <c r="C279" s="31"/>
      <c r="D279" s="31"/>
      <c r="E279" s="31"/>
      <c r="F279" s="31"/>
      <c r="G279" s="44"/>
      <c r="H279" s="34"/>
      <c r="I279" s="45"/>
      <c r="J279" s="11" t="str">
        <f t="shared" si="32"/>
        <v/>
      </c>
      <c r="K279" s="31"/>
      <c r="L279" s="35"/>
      <c r="M279" s="35"/>
      <c r="N279" s="31"/>
      <c r="O279" s="35"/>
      <c r="P279" s="31"/>
      <c r="Q279" s="31"/>
      <c r="R279" s="35"/>
      <c r="S279" s="35"/>
      <c r="T279" s="35"/>
      <c r="U279" s="35"/>
      <c r="V279" s="35"/>
    </row>
    <row r="280">
      <c r="A280" s="43"/>
      <c r="B280" s="30"/>
      <c r="C280" s="31"/>
      <c r="D280" s="31"/>
      <c r="E280" s="31"/>
      <c r="F280" s="31"/>
      <c r="G280" s="44"/>
      <c r="H280" s="34"/>
      <c r="I280" s="45"/>
      <c r="J280" s="11" t="str">
        <f t="shared" si="32"/>
        <v/>
      </c>
      <c r="K280" s="31"/>
      <c r="L280" s="35"/>
      <c r="M280" s="35"/>
      <c r="N280" s="31"/>
      <c r="O280" s="35"/>
      <c r="P280" s="31"/>
      <c r="Q280" s="31"/>
      <c r="R280" s="35"/>
      <c r="S280" s="35"/>
      <c r="T280" s="35"/>
      <c r="U280" s="35"/>
      <c r="V280" s="35"/>
    </row>
    <row r="281">
      <c r="A281" s="43"/>
      <c r="B281" s="30"/>
      <c r="C281" s="31"/>
      <c r="D281" s="31"/>
      <c r="E281" s="31"/>
      <c r="F281" s="31"/>
      <c r="G281" s="44"/>
      <c r="H281" s="34"/>
      <c r="I281" s="45"/>
      <c r="J281" s="11" t="str">
        <f t="shared" si="32"/>
        <v/>
      </c>
      <c r="K281" s="31"/>
      <c r="L281" s="35"/>
      <c r="M281" s="35"/>
      <c r="N281" s="31"/>
      <c r="O281" s="35"/>
      <c r="P281" s="31"/>
      <c r="Q281" s="31"/>
      <c r="R281" s="35"/>
      <c r="S281" s="35"/>
      <c r="T281" s="35"/>
      <c r="U281" s="35"/>
      <c r="V281" s="35"/>
    </row>
    <row r="282">
      <c r="A282" s="43"/>
      <c r="B282" s="30"/>
      <c r="C282" s="31"/>
      <c r="D282" s="31"/>
      <c r="E282" s="31"/>
      <c r="F282" s="31"/>
      <c r="G282" s="44"/>
      <c r="H282" s="34"/>
      <c r="I282" s="45"/>
      <c r="J282" s="11" t="str">
        <f t="shared" si="32"/>
        <v/>
      </c>
      <c r="K282" s="31"/>
      <c r="L282" s="35"/>
      <c r="M282" s="35"/>
      <c r="N282" s="31"/>
      <c r="O282" s="35"/>
      <c r="P282" s="31"/>
      <c r="Q282" s="31"/>
      <c r="R282" s="35"/>
      <c r="S282" s="35"/>
      <c r="T282" s="35"/>
      <c r="U282" s="35"/>
      <c r="V282" s="35"/>
    </row>
    <row r="283">
      <c r="A283" s="43"/>
      <c r="B283" s="30"/>
      <c r="C283" s="31"/>
      <c r="D283" s="31"/>
      <c r="E283" s="31"/>
      <c r="F283" s="31"/>
      <c r="G283" s="44"/>
      <c r="H283" s="34"/>
      <c r="I283" s="45"/>
      <c r="J283" s="11" t="str">
        <f t="shared" si="32"/>
        <v/>
      </c>
      <c r="K283" s="31"/>
      <c r="L283" s="35"/>
      <c r="M283" s="35"/>
      <c r="N283" s="31"/>
      <c r="O283" s="35"/>
      <c r="P283" s="31"/>
      <c r="Q283" s="31"/>
      <c r="R283" s="35"/>
      <c r="S283" s="35"/>
      <c r="T283" s="35"/>
      <c r="U283" s="35"/>
      <c r="V283" s="35"/>
    </row>
    <row r="284">
      <c r="A284" s="43"/>
      <c r="B284" s="30"/>
      <c r="C284" s="31"/>
      <c r="D284" s="31"/>
      <c r="E284" s="31"/>
      <c r="F284" s="31"/>
      <c r="G284" s="44"/>
      <c r="H284" s="34"/>
      <c r="I284" s="45"/>
      <c r="J284" s="11" t="str">
        <f t="shared" si="32"/>
        <v/>
      </c>
      <c r="K284" s="31"/>
      <c r="L284" s="35"/>
      <c r="M284" s="35"/>
      <c r="N284" s="31"/>
      <c r="O284" s="35"/>
      <c r="P284" s="31"/>
      <c r="Q284" s="31"/>
      <c r="R284" s="35"/>
      <c r="S284" s="35"/>
      <c r="T284" s="35"/>
      <c r="U284" s="35"/>
      <c r="V284" s="35"/>
    </row>
    <row r="285">
      <c r="A285" s="43"/>
      <c r="B285" s="30"/>
      <c r="C285" s="31"/>
      <c r="D285" s="31"/>
      <c r="E285" s="31"/>
      <c r="F285" s="31"/>
      <c r="G285" s="44"/>
      <c r="H285" s="34"/>
      <c r="I285" s="45"/>
      <c r="J285" s="11" t="str">
        <f t="shared" si="32"/>
        <v/>
      </c>
      <c r="K285" s="31"/>
      <c r="L285" s="35"/>
      <c r="M285" s="35"/>
      <c r="N285" s="31"/>
      <c r="O285" s="35"/>
      <c r="P285" s="31"/>
      <c r="Q285" s="31"/>
      <c r="R285" s="35"/>
      <c r="S285" s="35"/>
      <c r="T285" s="35"/>
      <c r="U285" s="35"/>
      <c r="V285" s="35"/>
    </row>
    <row r="286">
      <c r="A286" s="43"/>
      <c r="B286" s="30"/>
      <c r="C286" s="31"/>
      <c r="D286" s="31"/>
      <c r="E286" s="31"/>
      <c r="F286" s="31"/>
      <c r="G286" s="44"/>
      <c r="H286" s="34"/>
      <c r="I286" s="45"/>
      <c r="J286" s="11" t="str">
        <f t="shared" si="32"/>
        <v/>
      </c>
      <c r="K286" s="31"/>
      <c r="L286" s="35"/>
      <c r="M286" s="35"/>
      <c r="N286" s="31"/>
      <c r="O286" s="35"/>
      <c r="P286" s="31"/>
      <c r="Q286" s="31"/>
      <c r="R286" s="35"/>
      <c r="S286" s="35"/>
      <c r="T286" s="35"/>
      <c r="U286" s="35"/>
      <c r="V286" s="35"/>
    </row>
    <row r="287">
      <c r="A287" s="43"/>
      <c r="B287" s="30"/>
      <c r="C287" s="31"/>
      <c r="D287" s="31"/>
      <c r="E287" s="31"/>
      <c r="F287" s="31"/>
      <c r="G287" s="44"/>
      <c r="H287" s="34"/>
      <c r="I287" s="45"/>
      <c r="J287" s="11" t="str">
        <f t="shared" si="32"/>
        <v/>
      </c>
      <c r="K287" s="31"/>
      <c r="L287" s="35"/>
      <c r="M287" s="35"/>
      <c r="N287" s="31"/>
      <c r="O287" s="35"/>
      <c r="P287" s="31"/>
      <c r="Q287" s="31"/>
      <c r="R287" s="35"/>
      <c r="S287" s="35"/>
      <c r="T287" s="35"/>
      <c r="U287" s="35"/>
      <c r="V287" s="35"/>
    </row>
    <row r="288">
      <c r="A288" s="43"/>
      <c r="B288" s="30"/>
      <c r="C288" s="31"/>
      <c r="D288" s="31"/>
      <c r="E288" s="31"/>
      <c r="F288" s="31"/>
      <c r="G288" s="44"/>
      <c r="H288" s="34"/>
      <c r="I288" s="45"/>
      <c r="J288" s="11" t="str">
        <f t="shared" si="32"/>
        <v/>
      </c>
      <c r="K288" s="31"/>
      <c r="L288" s="35"/>
      <c r="M288" s="35"/>
      <c r="N288" s="31"/>
      <c r="O288" s="35"/>
      <c r="P288" s="31"/>
      <c r="Q288" s="31"/>
      <c r="R288" s="35"/>
      <c r="S288" s="35"/>
      <c r="T288" s="35"/>
      <c r="U288" s="35"/>
      <c r="V288" s="35"/>
    </row>
    <row r="289">
      <c r="A289" s="43"/>
      <c r="B289" s="30"/>
      <c r="C289" s="31"/>
      <c r="D289" s="31"/>
      <c r="E289" s="31"/>
      <c r="F289" s="31"/>
      <c r="G289" s="44"/>
      <c r="H289" s="34"/>
      <c r="I289" s="45"/>
      <c r="J289" s="11" t="str">
        <f t="shared" si="32"/>
        <v/>
      </c>
      <c r="K289" s="31"/>
      <c r="L289" s="35"/>
      <c r="M289" s="35"/>
      <c r="N289" s="31"/>
      <c r="O289" s="35"/>
      <c r="P289" s="31"/>
      <c r="Q289" s="31"/>
      <c r="R289" s="35"/>
      <c r="S289" s="35"/>
      <c r="T289" s="35"/>
      <c r="U289" s="35"/>
      <c r="V289" s="35"/>
    </row>
    <row r="290">
      <c r="A290" s="43"/>
      <c r="B290" s="30"/>
      <c r="C290" s="31"/>
      <c r="D290" s="31"/>
      <c r="E290" s="31"/>
      <c r="F290" s="31"/>
      <c r="G290" s="44"/>
      <c r="H290" s="34"/>
      <c r="I290" s="45"/>
      <c r="J290" s="11" t="str">
        <f t="shared" si="32"/>
        <v/>
      </c>
      <c r="K290" s="31"/>
      <c r="L290" s="35"/>
      <c r="M290" s="35"/>
      <c r="N290" s="31"/>
      <c r="O290" s="35"/>
      <c r="P290" s="31"/>
      <c r="Q290" s="31"/>
      <c r="R290" s="35"/>
      <c r="S290" s="35"/>
      <c r="T290" s="35"/>
      <c r="U290" s="35"/>
      <c r="V290" s="35"/>
    </row>
    <row r="291">
      <c r="A291" s="43"/>
      <c r="B291" s="30"/>
      <c r="C291" s="31"/>
      <c r="D291" s="31"/>
      <c r="E291" s="31"/>
      <c r="F291" s="31"/>
      <c r="G291" s="44"/>
      <c r="H291" s="34"/>
      <c r="I291" s="45"/>
      <c r="J291" s="11" t="str">
        <f t="shared" si="32"/>
        <v/>
      </c>
      <c r="K291" s="31"/>
      <c r="L291" s="35"/>
      <c r="M291" s="35"/>
      <c r="N291" s="31"/>
      <c r="O291" s="35"/>
      <c r="P291" s="31"/>
      <c r="Q291" s="31"/>
      <c r="R291" s="35"/>
      <c r="S291" s="35"/>
      <c r="T291" s="35"/>
      <c r="U291" s="35"/>
      <c r="V291" s="35"/>
    </row>
    <row r="292">
      <c r="A292" s="43"/>
      <c r="B292" s="30"/>
      <c r="C292" s="31"/>
      <c r="D292" s="31"/>
      <c r="E292" s="31"/>
      <c r="F292" s="31"/>
      <c r="G292" s="44"/>
      <c r="H292" s="34"/>
      <c r="I292" s="45"/>
      <c r="J292" s="11" t="str">
        <f t="shared" si="32"/>
        <v/>
      </c>
      <c r="K292" s="31"/>
      <c r="L292" s="35"/>
      <c r="M292" s="35"/>
      <c r="N292" s="31"/>
      <c r="O292" s="35"/>
      <c r="P292" s="31"/>
      <c r="Q292" s="31"/>
      <c r="R292" s="35"/>
      <c r="S292" s="35"/>
      <c r="T292" s="35"/>
      <c r="U292" s="35"/>
      <c r="V292" s="35"/>
    </row>
    <row r="293">
      <c r="A293" s="43"/>
      <c r="B293" s="30"/>
      <c r="C293" s="31"/>
      <c r="D293" s="31"/>
      <c r="E293" s="31"/>
      <c r="F293" s="31"/>
      <c r="G293" s="44"/>
      <c r="H293" s="34"/>
      <c r="I293" s="45"/>
      <c r="J293" s="11" t="str">
        <f t="shared" si="32"/>
        <v/>
      </c>
      <c r="K293" s="31"/>
      <c r="L293" s="35"/>
      <c r="M293" s="35"/>
      <c r="N293" s="31"/>
      <c r="O293" s="35"/>
      <c r="P293" s="31"/>
      <c r="Q293" s="31"/>
      <c r="R293" s="35"/>
      <c r="S293" s="35"/>
      <c r="T293" s="35"/>
      <c r="U293" s="35"/>
      <c r="V293" s="35"/>
    </row>
    <row r="294">
      <c r="A294" s="43"/>
      <c r="B294" s="30"/>
      <c r="C294" s="31"/>
      <c r="D294" s="31"/>
      <c r="E294" s="31"/>
      <c r="F294" s="31"/>
      <c r="G294" s="44"/>
      <c r="H294" s="34"/>
      <c r="I294" s="45"/>
      <c r="J294" s="11" t="str">
        <f t="shared" si="32"/>
        <v/>
      </c>
      <c r="K294" s="31"/>
      <c r="L294" s="35"/>
      <c r="M294" s="35"/>
      <c r="N294" s="31"/>
      <c r="O294" s="35"/>
      <c r="P294" s="31"/>
      <c r="Q294" s="31"/>
      <c r="R294" s="35"/>
      <c r="S294" s="35"/>
      <c r="T294" s="35"/>
      <c r="U294" s="35"/>
      <c r="V294" s="35"/>
    </row>
    <row r="295">
      <c r="A295" s="43"/>
      <c r="B295" s="30"/>
      <c r="C295" s="31"/>
      <c r="D295" s="31"/>
      <c r="E295" s="31"/>
      <c r="F295" s="31"/>
      <c r="G295" s="44"/>
      <c r="H295" s="34"/>
      <c r="I295" s="45"/>
      <c r="J295" s="11" t="str">
        <f t="shared" si="32"/>
        <v/>
      </c>
      <c r="K295" s="31"/>
      <c r="L295" s="35"/>
      <c r="M295" s="35"/>
      <c r="N295" s="31"/>
      <c r="O295" s="35"/>
      <c r="P295" s="31"/>
      <c r="Q295" s="31"/>
      <c r="R295" s="35"/>
      <c r="S295" s="35"/>
      <c r="T295" s="35"/>
      <c r="U295" s="35"/>
      <c r="V295" s="35"/>
    </row>
    <row r="296">
      <c r="A296" s="43"/>
      <c r="B296" s="30"/>
      <c r="C296" s="31"/>
      <c r="D296" s="31"/>
      <c r="E296" s="31"/>
      <c r="F296" s="31"/>
      <c r="G296" s="44"/>
      <c r="H296" s="34"/>
      <c r="I296" s="45"/>
      <c r="J296" s="11" t="str">
        <f t="shared" si="32"/>
        <v/>
      </c>
      <c r="K296" s="31"/>
      <c r="L296" s="35"/>
      <c r="M296" s="35"/>
      <c r="N296" s="31"/>
      <c r="O296" s="35"/>
      <c r="P296" s="31"/>
      <c r="Q296" s="31"/>
      <c r="R296" s="35"/>
      <c r="S296" s="35"/>
      <c r="T296" s="35"/>
      <c r="U296" s="35"/>
      <c r="V296" s="35"/>
    </row>
    <row r="297">
      <c r="A297" s="43"/>
      <c r="B297" s="30"/>
      <c r="C297" s="31"/>
      <c r="D297" s="31"/>
      <c r="E297" s="31"/>
      <c r="F297" s="31"/>
      <c r="G297" s="44"/>
      <c r="H297" s="34"/>
      <c r="I297" s="45"/>
      <c r="J297" s="11" t="str">
        <f t="shared" si="32"/>
        <v/>
      </c>
      <c r="K297" s="31"/>
      <c r="L297" s="35"/>
      <c r="M297" s="35"/>
      <c r="N297" s="31"/>
      <c r="O297" s="35"/>
      <c r="P297" s="31"/>
      <c r="Q297" s="31"/>
      <c r="R297" s="35"/>
      <c r="S297" s="35"/>
      <c r="T297" s="35"/>
      <c r="U297" s="35"/>
      <c r="V297" s="35"/>
    </row>
    <row r="298">
      <c r="A298" s="43"/>
      <c r="B298" s="30"/>
      <c r="C298" s="31"/>
      <c r="D298" s="31"/>
      <c r="E298" s="31"/>
      <c r="F298" s="31"/>
      <c r="G298" s="44"/>
      <c r="H298" s="34"/>
      <c r="I298" s="45"/>
      <c r="J298" s="11" t="str">
        <f t="shared" si="32"/>
        <v/>
      </c>
      <c r="K298" s="31"/>
      <c r="L298" s="35"/>
      <c r="M298" s="35"/>
      <c r="N298" s="31"/>
      <c r="O298" s="35"/>
      <c r="P298" s="31"/>
      <c r="Q298" s="31"/>
      <c r="R298" s="35"/>
      <c r="S298" s="35"/>
      <c r="T298" s="35"/>
      <c r="U298" s="35"/>
      <c r="V298" s="35"/>
    </row>
    <row r="299">
      <c r="A299" s="43"/>
      <c r="B299" s="30"/>
      <c r="C299" s="31"/>
      <c r="D299" s="31"/>
      <c r="E299" s="31"/>
      <c r="F299" s="31"/>
      <c r="G299" s="44"/>
      <c r="H299" s="34"/>
      <c r="I299" s="45"/>
      <c r="J299" s="11" t="str">
        <f t="shared" si="32"/>
        <v/>
      </c>
      <c r="K299" s="31"/>
      <c r="L299" s="35"/>
      <c r="M299" s="35"/>
      <c r="N299" s="31"/>
      <c r="O299" s="35"/>
      <c r="P299" s="31"/>
      <c r="Q299" s="31"/>
      <c r="R299" s="35"/>
      <c r="S299" s="35"/>
      <c r="T299" s="35"/>
      <c r="U299" s="35"/>
      <c r="V299" s="35"/>
    </row>
    <row r="300">
      <c r="A300" s="43"/>
      <c r="B300" s="30"/>
      <c r="C300" s="31"/>
      <c r="D300" s="31"/>
      <c r="E300" s="31"/>
      <c r="F300" s="31"/>
      <c r="G300" s="44"/>
      <c r="H300" s="34"/>
      <c r="I300" s="45"/>
      <c r="J300" s="11" t="str">
        <f t="shared" si="32"/>
        <v/>
      </c>
      <c r="K300" s="31"/>
      <c r="L300" s="35"/>
      <c r="M300" s="35"/>
      <c r="N300" s="31"/>
      <c r="O300" s="35"/>
      <c r="P300" s="31"/>
      <c r="Q300" s="31"/>
      <c r="R300" s="35"/>
      <c r="S300" s="35"/>
      <c r="T300" s="35"/>
      <c r="U300" s="35"/>
      <c r="V300" s="35"/>
    </row>
    <row r="301">
      <c r="A301" s="43"/>
      <c r="B301" s="30"/>
      <c r="C301" s="31"/>
      <c r="D301" s="31"/>
      <c r="E301" s="31"/>
      <c r="F301" s="31"/>
      <c r="G301" s="44"/>
      <c r="H301" s="34"/>
      <c r="I301" s="45"/>
      <c r="J301" s="11" t="str">
        <f t="shared" si="32"/>
        <v/>
      </c>
      <c r="K301" s="31"/>
      <c r="L301" s="35"/>
      <c r="M301" s="35"/>
      <c r="N301" s="31"/>
      <c r="O301" s="35"/>
      <c r="P301" s="31"/>
      <c r="Q301" s="31"/>
      <c r="R301" s="35"/>
      <c r="S301" s="35"/>
      <c r="T301" s="35"/>
      <c r="U301" s="35"/>
      <c r="V301" s="35"/>
    </row>
    <row r="302">
      <c r="A302" s="43"/>
      <c r="B302" s="30"/>
      <c r="C302" s="31"/>
      <c r="D302" s="31"/>
      <c r="E302" s="31"/>
      <c r="F302" s="31"/>
      <c r="G302" s="44"/>
      <c r="H302" s="34"/>
      <c r="I302" s="45"/>
      <c r="J302" s="11" t="str">
        <f t="shared" si="32"/>
        <v/>
      </c>
      <c r="K302" s="31"/>
      <c r="L302" s="35"/>
      <c r="M302" s="35"/>
      <c r="N302" s="31"/>
      <c r="O302" s="35"/>
      <c r="P302" s="31"/>
      <c r="Q302" s="31"/>
      <c r="R302" s="35"/>
      <c r="S302" s="35"/>
      <c r="T302" s="35"/>
      <c r="U302" s="35"/>
      <c r="V302" s="35"/>
    </row>
    <row r="303">
      <c r="A303" s="43"/>
      <c r="B303" s="30"/>
      <c r="C303" s="31"/>
      <c r="D303" s="31"/>
      <c r="E303" s="31"/>
      <c r="F303" s="31"/>
      <c r="G303" s="44"/>
      <c r="H303" s="34"/>
      <c r="I303" s="45"/>
      <c r="J303" s="11" t="str">
        <f t="shared" si="32"/>
        <v/>
      </c>
      <c r="K303" s="31"/>
      <c r="L303" s="35"/>
      <c r="M303" s="35"/>
      <c r="N303" s="31"/>
      <c r="O303" s="35"/>
      <c r="P303" s="31"/>
      <c r="Q303" s="31"/>
      <c r="R303" s="35"/>
      <c r="S303" s="35"/>
      <c r="T303" s="35"/>
      <c r="U303" s="35"/>
      <c r="V303" s="35"/>
    </row>
    <row r="304">
      <c r="A304" s="43"/>
      <c r="B304" s="30"/>
      <c r="C304" s="31"/>
      <c r="D304" s="31"/>
      <c r="E304" s="31"/>
      <c r="F304" s="31"/>
      <c r="G304" s="44"/>
      <c r="H304" s="34"/>
      <c r="I304" s="45"/>
      <c r="J304" s="11" t="str">
        <f t="shared" si="32"/>
        <v/>
      </c>
      <c r="K304" s="31"/>
      <c r="L304" s="35"/>
      <c r="M304" s="35"/>
      <c r="N304" s="31"/>
      <c r="O304" s="35"/>
      <c r="P304" s="31"/>
      <c r="Q304" s="31"/>
      <c r="R304" s="35"/>
      <c r="S304" s="35"/>
      <c r="T304" s="35"/>
      <c r="U304" s="35"/>
      <c r="V304" s="35"/>
    </row>
    <row r="305">
      <c r="A305" s="43"/>
      <c r="B305" s="30"/>
      <c r="C305" s="31"/>
      <c r="D305" s="31"/>
      <c r="E305" s="31"/>
      <c r="F305" s="31"/>
      <c r="G305" s="44"/>
      <c r="H305" s="34"/>
      <c r="I305" s="45"/>
      <c r="J305" s="11" t="str">
        <f t="shared" si="32"/>
        <v/>
      </c>
      <c r="K305" s="31"/>
      <c r="L305" s="35"/>
      <c r="M305" s="35"/>
      <c r="N305" s="31"/>
      <c r="O305" s="35"/>
      <c r="P305" s="31"/>
      <c r="Q305" s="31"/>
      <c r="R305" s="35"/>
      <c r="S305" s="35"/>
      <c r="T305" s="35"/>
      <c r="U305" s="35"/>
      <c r="V305" s="35"/>
    </row>
    <row r="306">
      <c r="A306" s="43"/>
      <c r="B306" s="30"/>
      <c r="C306" s="31"/>
      <c r="D306" s="31"/>
      <c r="E306" s="31"/>
      <c r="F306" s="31"/>
      <c r="G306" s="44"/>
      <c r="H306" s="34"/>
      <c r="I306" s="45"/>
      <c r="J306" s="11" t="str">
        <f t="shared" si="32"/>
        <v/>
      </c>
      <c r="K306" s="31"/>
      <c r="L306" s="35"/>
      <c r="M306" s="35"/>
      <c r="N306" s="31"/>
      <c r="O306" s="35"/>
      <c r="P306" s="31"/>
      <c r="Q306" s="31"/>
      <c r="R306" s="35"/>
      <c r="S306" s="35"/>
      <c r="T306" s="35"/>
      <c r="U306" s="35"/>
      <c r="V306" s="35"/>
    </row>
    <row r="307">
      <c r="A307" s="43"/>
      <c r="B307" s="30"/>
      <c r="C307" s="31"/>
      <c r="D307" s="31"/>
      <c r="E307" s="31"/>
      <c r="F307" s="31"/>
      <c r="G307" s="44"/>
      <c r="H307" s="34"/>
      <c r="I307" s="45"/>
      <c r="J307" s="11" t="str">
        <f t="shared" si="32"/>
        <v/>
      </c>
      <c r="K307" s="31"/>
      <c r="L307" s="35"/>
      <c r="M307" s="35"/>
      <c r="N307" s="31"/>
      <c r="O307" s="35"/>
      <c r="P307" s="31"/>
      <c r="Q307" s="31"/>
      <c r="R307" s="35"/>
      <c r="S307" s="35"/>
      <c r="T307" s="35"/>
      <c r="U307" s="35"/>
      <c r="V307" s="35"/>
    </row>
    <row r="308">
      <c r="A308" s="43"/>
      <c r="B308" s="30"/>
      <c r="C308" s="31"/>
      <c r="D308" s="31"/>
      <c r="E308" s="31"/>
      <c r="F308" s="31"/>
      <c r="G308" s="44"/>
      <c r="H308" s="34"/>
      <c r="I308" s="45"/>
      <c r="J308" s="11" t="str">
        <f t="shared" si="32"/>
        <v/>
      </c>
      <c r="K308" s="31"/>
      <c r="L308" s="35"/>
      <c r="M308" s="35"/>
      <c r="N308" s="31"/>
      <c r="O308" s="35"/>
      <c r="P308" s="31"/>
      <c r="Q308" s="31"/>
      <c r="R308" s="35"/>
      <c r="S308" s="35"/>
      <c r="T308" s="35"/>
      <c r="U308" s="35"/>
      <c r="V308" s="35"/>
    </row>
    <row r="309">
      <c r="A309" s="43"/>
      <c r="B309" s="30"/>
      <c r="C309" s="31"/>
      <c r="D309" s="31"/>
      <c r="E309" s="31"/>
      <c r="F309" s="31"/>
      <c r="G309" s="44"/>
      <c r="H309" s="34"/>
      <c r="I309" s="45"/>
      <c r="J309" s="11" t="str">
        <f t="shared" si="32"/>
        <v/>
      </c>
      <c r="K309" s="31"/>
      <c r="L309" s="35"/>
      <c r="M309" s="35"/>
      <c r="N309" s="31"/>
      <c r="O309" s="35"/>
      <c r="P309" s="31"/>
      <c r="Q309" s="31"/>
      <c r="R309" s="35"/>
      <c r="S309" s="35"/>
      <c r="T309" s="35"/>
      <c r="U309" s="35"/>
      <c r="V309" s="35"/>
    </row>
    <row r="310">
      <c r="A310" s="43"/>
      <c r="B310" s="30"/>
      <c r="C310" s="31"/>
      <c r="D310" s="31"/>
      <c r="E310" s="31"/>
      <c r="F310" s="31"/>
      <c r="G310" s="44"/>
      <c r="H310" s="34"/>
      <c r="I310" s="45"/>
      <c r="J310" s="11" t="str">
        <f t="shared" si="32"/>
        <v/>
      </c>
      <c r="K310" s="31"/>
      <c r="L310" s="35"/>
      <c r="M310" s="35"/>
      <c r="N310" s="31"/>
      <c r="O310" s="35"/>
      <c r="P310" s="31"/>
      <c r="Q310" s="31"/>
      <c r="R310" s="35"/>
      <c r="S310" s="35"/>
      <c r="T310" s="35"/>
      <c r="U310" s="35"/>
      <c r="V310" s="35"/>
    </row>
    <row r="311">
      <c r="A311" s="43"/>
      <c r="B311" s="30"/>
      <c r="C311" s="31"/>
      <c r="D311" s="31"/>
      <c r="E311" s="31"/>
      <c r="F311" s="31"/>
      <c r="G311" s="44"/>
      <c r="H311" s="34"/>
      <c r="I311" s="45"/>
      <c r="J311" s="11" t="str">
        <f t="shared" si="32"/>
        <v/>
      </c>
      <c r="K311" s="31"/>
      <c r="L311" s="35"/>
      <c r="M311" s="35"/>
      <c r="N311" s="31"/>
      <c r="O311" s="35"/>
      <c r="P311" s="31"/>
      <c r="Q311" s="31"/>
      <c r="R311" s="35"/>
      <c r="S311" s="35"/>
      <c r="T311" s="35"/>
      <c r="U311" s="35"/>
      <c r="V311" s="35"/>
    </row>
    <row r="312">
      <c r="A312" s="43"/>
      <c r="B312" s="30"/>
      <c r="C312" s="31"/>
      <c r="D312" s="31"/>
      <c r="E312" s="31"/>
      <c r="F312" s="31"/>
      <c r="G312" s="44"/>
      <c r="H312" s="34"/>
      <c r="I312" s="45"/>
      <c r="J312" s="11" t="str">
        <f t="shared" si="32"/>
        <v/>
      </c>
      <c r="K312" s="31"/>
      <c r="L312" s="35"/>
      <c r="M312" s="35"/>
      <c r="N312" s="31"/>
      <c r="O312" s="35"/>
      <c r="P312" s="31"/>
      <c r="Q312" s="31"/>
      <c r="R312" s="35"/>
      <c r="S312" s="35"/>
      <c r="T312" s="35"/>
      <c r="U312" s="35"/>
      <c r="V312" s="35"/>
    </row>
    <row r="313">
      <c r="A313" s="43"/>
      <c r="B313" s="30"/>
      <c r="C313" s="31"/>
      <c r="D313" s="31"/>
      <c r="E313" s="31"/>
      <c r="F313" s="31"/>
      <c r="G313" s="44"/>
      <c r="H313" s="34"/>
      <c r="I313" s="45"/>
      <c r="J313" s="11" t="str">
        <f t="shared" si="32"/>
        <v/>
      </c>
      <c r="K313" s="31"/>
      <c r="L313" s="35"/>
      <c r="M313" s="35"/>
      <c r="N313" s="31"/>
      <c r="O313" s="35"/>
      <c r="P313" s="31"/>
      <c r="Q313" s="31"/>
      <c r="R313" s="35"/>
      <c r="S313" s="35"/>
      <c r="T313" s="35"/>
      <c r="U313" s="35"/>
      <c r="V313" s="35"/>
    </row>
    <row r="314">
      <c r="A314" s="43"/>
      <c r="B314" s="30"/>
      <c r="C314" s="31"/>
      <c r="D314" s="31"/>
      <c r="E314" s="31"/>
      <c r="F314" s="31"/>
      <c r="G314" s="44"/>
      <c r="H314" s="34"/>
      <c r="I314" s="45"/>
      <c r="J314" s="11" t="str">
        <f t="shared" si="32"/>
        <v/>
      </c>
      <c r="K314" s="31"/>
      <c r="L314" s="35"/>
      <c r="M314" s="35"/>
      <c r="N314" s="31"/>
      <c r="O314" s="35"/>
      <c r="P314" s="31"/>
      <c r="Q314" s="31"/>
      <c r="R314" s="35"/>
      <c r="S314" s="35"/>
      <c r="T314" s="35"/>
      <c r="U314" s="35"/>
      <c r="V314" s="35"/>
    </row>
    <row r="315">
      <c r="A315" s="43"/>
      <c r="B315" s="30"/>
      <c r="C315" s="31"/>
      <c r="D315" s="31"/>
      <c r="E315" s="31"/>
      <c r="F315" s="31"/>
      <c r="G315" s="44"/>
      <c r="H315" s="34"/>
      <c r="I315" s="45"/>
      <c r="J315" s="11" t="str">
        <f t="shared" si="32"/>
        <v/>
      </c>
      <c r="K315" s="31"/>
      <c r="L315" s="35"/>
      <c r="M315" s="35"/>
      <c r="N315" s="31"/>
      <c r="O315" s="35"/>
      <c r="P315" s="31"/>
      <c r="Q315" s="31"/>
      <c r="R315" s="35"/>
      <c r="S315" s="35"/>
      <c r="T315" s="35"/>
      <c r="U315" s="35"/>
      <c r="V315" s="35"/>
    </row>
    <row r="316">
      <c r="A316" s="43"/>
      <c r="B316" s="30"/>
      <c r="C316" s="31"/>
      <c r="D316" s="31"/>
      <c r="E316" s="31"/>
      <c r="F316" s="31"/>
      <c r="G316" s="44"/>
      <c r="H316" s="34"/>
      <c r="I316" s="45"/>
      <c r="J316" s="11" t="str">
        <f t="shared" si="32"/>
        <v/>
      </c>
      <c r="K316" s="31"/>
      <c r="L316" s="35"/>
      <c r="M316" s="35"/>
      <c r="N316" s="31"/>
      <c r="O316" s="35"/>
      <c r="P316" s="31"/>
      <c r="Q316" s="31"/>
      <c r="R316" s="35"/>
      <c r="S316" s="35"/>
      <c r="T316" s="35"/>
      <c r="U316" s="35"/>
      <c r="V316" s="35"/>
    </row>
    <row r="317">
      <c r="A317" s="43"/>
      <c r="B317" s="30"/>
      <c r="C317" s="31"/>
      <c r="D317" s="31"/>
      <c r="E317" s="31"/>
      <c r="F317" s="31"/>
      <c r="G317" s="44"/>
      <c r="H317" s="34"/>
      <c r="I317" s="45"/>
      <c r="J317" s="11" t="str">
        <f t="shared" si="32"/>
        <v/>
      </c>
      <c r="K317" s="31"/>
      <c r="L317" s="35"/>
      <c r="M317" s="35"/>
      <c r="N317" s="31"/>
      <c r="O317" s="35"/>
      <c r="P317" s="31"/>
      <c r="Q317" s="31"/>
      <c r="R317" s="35"/>
      <c r="S317" s="35"/>
      <c r="T317" s="35"/>
      <c r="U317" s="35"/>
      <c r="V317" s="35"/>
    </row>
    <row r="318">
      <c r="A318" s="43"/>
      <c r="B318" s="30"/>
      <c r="C318" s="31"/>
      <c r="D318" s="31"/>
      <c r="E318" s="31"/>
      <c r="F318" s="31"/>
      <c r="G318" s="44"/>
      <c r="H318" s="34"/>
      <c r="I318" s="45"/>
      <c r="J318" s="11" t="str">
        <f t="shared" si="32"/>
        <v/>
      </c>
      <c r="K318" s="31"/>
      <c r="L318" s="35"/>
      <c r="M318" s="35"/>
      <c r="N318" s="31"/>
      <c r="O318" s="35"/>
      <c r="P318" s="31"/>
      <c r="Q318" s="31"/>
      <c r="R318" s="35"/>
      <c r="S318" s="35"/>
      <c r="T318" s="35"/>
      <c r="U318" s="35"/>
      <c r="V318" s="35"/>
    </row>
    <row r="319">
      <c r="A319" s="43"/>
      <c r="B319" s="30"/>
      <c r="C319" s="31"/>
      <c r="D319" s="31"/>
      <c r="E319" s="31"/>
      <c r="F319" s="31"/>
      <c r="G319" s="44"/>
      <c r="H319" s="34"/>
      <c r="I319" s="45"/>
      <c r="J319" s="11" t="str">
        <f t="shared" si="32"/>
        <v/>
      </c>
      <c r="K319" s="31"/>
      <c r="L319" s="35"/>
      <c r="M319" s="35"/>
      <c r="N319" s="31"/>
      <c r="O319" s="35"/>
      <c r="P319" s="31"/>
      <c r="Q319" s="31"/>
      <c r="R319" s="35"/>
      <c r="S319" s="35"/>
      <c r="T319" s="35"/>
      <c r="U319" s="35"/>
      <c r="V319" s="35"/>
    </row>
    <row r="320">
      <c r="A320" s="43"/>
      <c r="B320" s="30"/>
      <c r="C320" s="31"/>
      <c r="D320" s="31"/>
      <c r="E320" s="31"/>
      <c r="F320" s="31"/>
      <c r="G320" s="44"/>
      <c r="H320" s="34"/>
      <c r="I320" s="45"/>
      <c r="J320" s="11" t="str">
        <f t="shared" si="32"/>
        <v/>
      </c>
      <c r="K320" s="31"/>
      <c r="L320" s="35"/>
      <c r="M320" s="35"/>
      <c r="N320" s="31"/>
      <c r="O320" s="35"/>
      <c r="P320" s="31"/>
      <c r="Q320" s="31"/>
      <c r="R320" s="35"/>
      <c r="S320" s="35"/>
      <c r="T320" s="35"/>
      <c r="U320" s="35"/>
      <c r="V320" s="35"/>
    </row>
    <row r="321">
      <c r="A321" s="43"/>
      <c r="B321" s="30"/>
      <c r="C321" s="31"/>
      <c r="D321" s="31"/>
      <c r="E321" s="31"/>
      <c r="F321" s="31"/>
      <c r="G321" s="44"/>
      <c r="H321" s="34"/>
      <c r="I321" s="45"/>
      <c r="J321" s="11" t="str">
        <f t="shared" si="32"/>
        <v/>
      </c>
      <c r="K321" s="31"/>
      <c r="L321" s="35"/>
      <c r="M321" s="35"/>
      <c r="N321" s="31"/>
      <c r="O321" s="35"/>
      <c r="P321" s="31"/>
      <c r="Q321" s="31"/>
      <c r="R321" s="35"/>
      <c r="S321" s="35"/>
      <c r="T321" s="35"/>
      <c r="U321" s="35"/>
      <c r="V321" s="35"/>
    </row>
    <row r="322">
      <c r="A322" s="43"/>
      <c r="B322" s="30"/>
      <c r="C322" s="31"/>
      <c r="D322" s="31"/>
      <c r="E322" s="31"/>
      <c r="F322" s="31"/>
      <c r="G322" s="44"/>
      <c r="H322" s="34"/>
      <c r="I322" s="45"/>
      <c r="J322" s="11" t="str">
        <f t="shared" si="32"/>
        <v/>
      </c>
      <c r="K322" s="31"/>
      <c r="L322" s="35"/>
      <c r="M322" s="35"/>
      <c r="N322" s="31"/>
      <c r="O322" s="35"/>
      <c r="P322" s="31"/>
      <c r="Q322" s="31"/>
      <c r="R322" s="35"/>
      <c r="S322" s="35"/>
      <c r="T322" s="35"/>
      <c r="U322" s="35"/>
      <c r="V322" s="35"/>
    </row>
    <row r="323">
      <c r="A323" s="43"/>
      <c r="B323" s="30"/>
      <c r="C323" s="31"/>
      <c r="D323" s="31"/>
      <c r="E323" s="31"/>
      <c r="F323" s="31"/>
      <c r="G323" s="44"/>
      <c r="H323" s="34"/>
      <c r="I323" s="45"/>
      <c r="J323" s="11" t="str">
        <f t="shared" si="32"/>
        <v/>
      </c>
      <c r="K323" s="31"/>
      <c r="L323" s="35"/>
      <c r="M323" s="35"/>
      <c r="N323" s="31"/>
      <c r="O323" s="35"/>
      <c r="P323" s="31"/>
      <c r="Q323" s="31"/>
      <c r="R323" s="35"/>
      <c r="S323" s="35"/>
      <c r="T323" s="35"/>
      <c r="U323" s="35"/>
      <c r="V323" s="35"/>
    </row>
    <row r="324">
      <c r="A324" s="43"/>
      <c r="B324" s="30"/>
      <c r="C324" s="31"/>
      <c r="D324" s="31"/>
      <c r="E324" s="31"/>
      <c r="F324" s="31"/>
      <c r="G324" s="44"/>
      <c r="H324" s="34"/>
      <c r="I324" s="45"/>
      <c r="J324" s="11" t="str">
        <f t="shared" si="32"/>
        <v/>
      </c>
      <c r="K324" s="31"/>
      <c r="L324" s="35"/>
      <c r="M324" s="35"/>
      <c r="N324" s="31"/>
      <c r="O324" s="35"/>
      <c r="P324" s="31"/>
      <c r="Q324" s="31"/>
      <c r="R324" s="35"/>
      <c r="S324" s="35"/>
      <c r="T324" s="35"/>
      <c r="U324" s="35"/>
      <c r="V324" s="35"/>
    </row>
    <row r="325">
      <c r="A325" s="43"/>
      <c r="B325" s="30"/>
      <c r="C325" s="31"/>
      <c r="D325" s="31"/>
      <c r="E325" s="31"/>
      <c r="F325" s="31"/>
      <c r="G325" s="44"/>
      <c r="H325" s="34"/>
      <c r="I325" s="45"/>
      <c r="J325" s="11" t="str">
        <f t="shared" si="32"/>
        <v/>
      </c>
      <c r="K325" s="31"/>
      <c r="L325" s="35"/>
      <c r="M325" s="35"/>
      <c r="N325" s="31"/>
      <c r="O325" s="35"/>
      <c r="P325" s="31"/>
      <c r="Q325" s="31"/>
      <c r="R325" s="35"/>
      <c r="S325" s="35"/>
      <c r="T325" s="35"/>
      <c r="U325" s="35"/>
      <c r="V325" s="35"/>
    </row>
    <row r="326">
      <c r="A326" s="43"/>
      <c r="B326" s="30"/>
      <c r="C326" s="31"/>
      <c r="D326" s="31"/>
      <c r="E326" s="31"/>
      <c r="F326" s="31"/>
      <c r="G326" s="44"/>
      <c r="H326" s="34"/>
      <c r="I326" s="45"/>
      <c r="J326" s="11" t="str">
        <f t="shared" si="32"/>
        <v/>
      </c>
      <c r="K326" s="31"/>
      <c r="L326" s="35"/>
      <c r="M326" s="35"/>
      <c r="N326" s="31"/>
      <c r="O326" s="35"/>
      <c r="P326" s="31"/>
      <c r="Q326" s="31"/>
      <c r="R326" s="35"/>
      <c r="S326" s="35"/>
      <c r="T326" s="35"/>
      <c r="U326" s="35"/>
      <c r="V326" s="35"/>
    </row>
    <row r="327">
      <c r="A327" s="43"/>
      <c r="B327" s="30"/>
      <c r="C327" s="31"/>
      <c r="D327" s="31"/>
      <c r="E327" s="31"/>
      <c r="F327" s="31"/>
      <c r="G327" s="44"/>
      <c r="H327" s="34"/>
      <c r="I327" s="45"/>
      <c r="J327" s="11" t="str">
        <f t="shared" si="32"/>
        <v/>
      </c>
      <c r="K327" s="31"/>
      <c r="L327" s="35"/>
      <c r="M327" s="35"/>
      <c r="N327" s="31"/>
      <c r="O327" s="35"/>
      <c r="P327" s="31"/>
      <c r="Q327" s="31"/>
      <c r="R327" s="35"/>
      <c r="S327" s="35"/>
      <c r="T327" s="35"/>
      <c r="U327" s="35"/>
      <c r="V327" s="35"/>
    </row>
    <row r="328">
      <c r="A328" s="43"/>
      <c r="B328" s="30"/>
      <c r="C328" s="31"/>
      <c r="D328" s="31"/>
      <c r="E328" s="31"/>
      <c r="F328" s="31"/>
      <c r="G328" s="44"/>
      <c r="H328" s="34"/>
      <c r="I328" s="45"/>
      <c r="J328" s="11" t="str">
        <f t="shared" si="32"/>
        <v/>
      </c>
      <c r="K328" s="31"/>
      <c r="L328" s="35"/>
      <c r="M328" s="35"/>
      <c r="N328" s="31"/>
      <c r="O328" s="35"/>
      <c r="P328" s="31"/>
      <c r="Q328" s="31"/>
      <c r="R328" s="35"/>
      <c r="S328" s="35"/>
      <c r="T328" s="35"/>
      <c r="U328" s="35"/>
      <c r="V328" s="35"/>
    </row>
    <row r="329">
      <c r="A329" s="43"/>
      <c r="B329" s="30"/>
      <c r="C329" s="31"/>
      <c r="D329" s="31"/>
      <c r="E329" s="31"/>
      <c r="F329" s="31"/>
      <c r="G329" s="44"/>
      <c r="H329" s="34"/>
      <c r="I329" s="45"/>
      <c r="J329" s="11" t="str">
        <f t="shared" si="32"/>
        <v/>
      </c>
      <c r="K329" s="31"/>
      <c r="L329" s="35"/>
      <c r="M329" s="35"/>
      <c r="N329" s="31"/>
      <c r="O329" s="35"/>
      <c r="P329" s="31"/>
      <c r="Q329" s="31"/>
      <c r="R329" s="35"/>
      <c r="S329" s="35"/>
      <c r="T329" s="35"/>
      <c r="U329" s="35"/>
      <c r="V329" s="35"/>
    </row>
    <row r="330">
      <c r="A330" s="43"/>
      <c r="B330" s="30"/>
      <c r="C330" s="31"/>
      <c r="D330" s="31"/>
      <c r="E330" s="31"/>
      <c r="F330" s="31"/>
      <c r="G330" s="44"/>
      <c r="H330" s="34"/>
      <c r="I330" s="45"/>
      <c r="J330" s="11" t="str">
        <f t="shared" si="32"/>
        <v/>
      </c>
      <c r="K330" s="31"/>
      <c r="L330" s="35"/>
      <c r="M330" s="35"/>
      <c r="N330" s="31"/>
      <c r="O330" s="35"/>
      <c r="P330" s="31"/>
      <c r="Q330" s="31"/>
      <c r="R330" s="35"/>
      <c r="S330" s="35"/>
      <c r="T330" s="35"/>
      <c r="U330" s="35"/>
      <c r="V330" s="35"/>
    </row>
    <row r="331">
      <c r="A331" s="43"/>
      <c r="B331" s="30"/>
      <c r="C331" s="31"/>
      <c r="D331" s="31"/>
      <c r="E331" s="31"/>
      <c r="F331" s="31"/>
      <c r="G331" s="44"/>
      <c r="H331" s="34"/>
      <c r="I331" s="45"/>
      <c r="J331" s="11" t="str">
        <f t="shared" si="32"/>
        <v/>
      </c>
      <c r="K331" s="31"/>
      <c r="L331" s="35"/>
      <c r="M331" s="35"/>
      <c r="N331" s="31"/>
      <c r="O331" s="35"/>
      <c r="P331" s="31"/>
      <c r="Q331" s="31"/>
      <c r="R331" s="35"/>
      <c r="S331" s="35"/>
      <c r="T331" s="35"/>
      <c r="U331" s="35"/>
      <c r="V331" s="35"/>
    </row>
    <row r="332">
      <c r="A332" s="43"/>
      <c r="B332" s="30"/>
      <c r="C332" s="31"/>
      <c r="D332" s="31"/>
      <c r="E332" s="31"/>
      <c r="F332" s="31"/>
      <c r="G332" s="44"/>
      <c r="H332" s="34"/>
      <c r="I332" s="45"/>
      <c r="J332" s="11" t="str">
        <f t="shared" si="32"/>
        <v/>
      </c>
      <c r="K332" s="31"/>
      <c r="L332" s="35"/>
      <c r="M332" s="35"/>
      <c r="N332" s="31"/>
      <c r="O332" s="35"/>
      <c r="P332" s="31"/>
      <c r="Q332" s="31"/>
      <c r="R332" s="35"/>
      <c r="S332" s="35"/>
      <c r="T332" s="35"/>
      <c r="U332" s="35"/>
      <c r="V332" s="35"/>
    </row>
    <row r="333">
      <c r="A333" s="43"/>
      <c r="B333" s="30"/>
      <c r="C333" s="31"/>
      <c r="D333" s="31"/>
      <c r="E333" s="31"/>
      <c r="F333" s="31"/>
      <c r="G333" s="44"/>
      <c r="H333" s="34"/>
      <c r="I333" s="45"/>
      <c r="J333" s="11" t="str">
        <f t="shared" si="32"/>
        <v/>
      </c>
      <c r="K333" s="31"/>
      <c r="L333" s="35"/>
      <c r="M333" s="35"/>
      <c r="N333" s="31"/>
      <c r="O333" s="35"/>
      <c r="P333" s="31"/>
      <c r="Q333" s="31"/>
      <c r="R333" s="35"/>
      <c r="S333" s="35"/>
      <c r="T333" s="35"/>
      <c r="U333" s="35"/>
      <c r="V333" s="35"/>
    </row>
    <row r="334">
      <c r="A334" s="43"/>
      <c r="B334" s="30"/>
      <c r="C334" s="31"/>
      <c r="D334" s="31"/>
      <c r="E334" s="31"/>
      <c r="F334" s="31"/>
      <c r="G334" s="44"/>
      <c r="H334" s="34"/>
      <c r="I334" s="45"/>
      <c r="J334" s="11" t="str">
        <f t="shared" si="32"/>
        <v/>
      </c>
      <c r="K334" s="31"/>
      <c r="L334" s="35"/>
      <c r="M334" s="35"/>
      <c r="N334" s="31"/>
      <c r="O334" s="35"/>
      <c r="P334" s="31"/>
      <c r="Q334" s="31"/>
      <c r="R334" s="35"/>
      <c r="S334" s="35"/>
      <c r="T334" s="35"/>
      <c r="U334" s="35"/>
      <c r="V334" s="35"/>
    </row>
    <row r="335">
      <c r="A335" s="43"/>
      <c r="B335" s="30"/>
      <c r="C335" s="31"/>
      <c r="D335" s="31"/>
      <c r="E335" s="31"/>
      <c r="F335" s="31"/>
      <c r="G335" s="44"/>
      <c r="H335" s="34"/>
      <c r="I335" s="45"/>
      <c r="J335" s="11" t="str">
        <f t="shared" si="32"/>
        <v/>
      </c>
      <c r="K335" s="31"/>
      <c r="L335" s="35"/>
      <c r="M335" s="35"/>
      <c r="N335" s="31"/>
      <c r="O335" s="35"/>
      <c r="P335" s="31"/>
      <c r="Q335" s="31"/>
      <c r="R335" s="35"/>
      <c r="S335" s="35"/>
      <c r="T335" s="35"/>
      <c r="U335" s="35"/>
      <c r="V335" s="35"/>
    </row>
    <row r="336">
      <c r="A336" s="43"/>
      <c r="B336" s="30"/>
      <c r="C336" s="31"/>
      <c r="D336" s="31"/>
      <c r="E336" s="31"/>
      <c r="F336" s="31"/>
      <c r="G336" s="44"/>
      <c r="H336" s="34"/>
      <c r="I336" s="45"/>
      <c r="J336" s="11" t="str">
        <f t="shared" si="32"/>
        <v/>
      </c>
      <c r="K336" s="31"/>
      <c r="L336" s="35"/>
      <c r="M336" s="35"/>
      <c r="N336" s="31"/>
      <c r="O336" s="35"/>
      <c r="P336" s="31"/>
      <c r="Q336" s="31"/>
      <c r="R336" s="35"/>
      <c r="S336" s="35"/>
      <c r="T336" s="35"/>
      <c r="U336" s="35"/>
      <c r="V336" s="35"/>
    </row>
    <row r="337">
      <c r="A337" s="43"/>
      <c r="B337" s="30"/>
      <c r="C337" s="31"/>
      <c r="D337" s="31"/>
      <c r="E337" s="31"/>
      <c r="F337" s="31"/>
      <c r="G337" s="44"/>
      <c r="H337" s="34"/>
      <c r="I337" s="45"/>
      <c r="J337" s="11" t="str">
        <f t="shared" si="32"/>
        <v/>
      </c>
      <c r="K337" s="31"/>
      <c r="L337" s="35"/>
      <c r="M337" s="35"/>
      <c r="N337" s="31"/>
      <c r="O337" s="35"/>
      <c r="P337" s="31"/>
      <c r="Q337" s="31"/>
      <c r="R337" s="35"/>
      <c r="S337" s="35"/>
      <c r="T337" s="35"/>
      <c r="U337" s="35"/>
      <c r="V337" s="35"/>
    </row>
    <row r="338">
      <c r="A338" s="43"/>
      <c r="B338" s="30"/>
      <c r="C338" s="31"/>
      <c r="D338" s="31"/>
      <c r="E338" s="31"/>
      <c r="F338" s="31"/>
      <c r="G338" s="44"/>
      <c r="H338" s="34"/>
      <c r="I338" s="45"/>
      <c r="J338" s="11" t="str">
        <f t="shared" si="32"/>
        <v/>
      </c>
      <c r="K338" s="31"/>
      <c r="L338" s="35"/>
      <c r="M338" s="35"/>
      <c r="N338" s="31"/>
      <c r="O338" s="35"/>
      <c r="P338" s="31"/>
      <c r="Q338" s="31"/>
      <c r="R338" s="35"/>
      <c r="S338" s="35"/>
      <c r="T338" s="35"/>
      <c r="U338" s="35"/>
      <c r="V338" s="35"/>
    </row>
    <row r="339">
      <c r="A339" s="43"/>
      <c r="B339" s="30"/>
      <c r="C339" s="31"/>
      <c r="D339" s="31"/>
      <c r="E339" s="31"/>
      <c r="F339" s="31"/>
      <c r="G339" s="44"/>
      <c r="H339" s="34"/>
      <c r="I339" s="45"/>
      <c r="J339" s="11" t="str">
        <f t="shared" si="32"/>
        <v/>
      </c>
      <c r="K339" s="31"/>
      <c r="L339" s="35"/>
      <c r="M339" s="35"/>
      <c r="N339" s="31"/>
      <c r="O339" s="35"/>
      <c r="P339" s="31"/>
      <c r="Q339" s="31"/>
      <c r="R339" s="35"/>
      <c r="S339" s="35"/>
      <c r="T339" s="35"/>
      <c r="U339" s="35"/>
      <c r="V339" s="35"/>
    </row>
    <row r="340">
      <c r="A340" s="43"/>
      <c r="B340" s="30"/>
      <c r="C340" s="31"/>
      <c r="D340" s="31"/>
      <c r="E340" s="31"/>
      <c r="F340" s="31"/>
      <c r="G340" s="44"/>
      <c r="H340" s="34"/>
      <c r="I340" s="45"/>
      <c r="J340" s="11" t="str">
        <f t="shared" si="32"/>
        <v/>
      </c>
      <c r="K340" s="31"/>
      <c r="L340" s="35"/>
      <c r="M340" s="35"/>
      <c r="N340" s="31"/>
      <c r="O340" s="35"/>
      <c r="P340" s="31"/>
      <c r="Q340" s="31"/>
      <c r="R340" s="35"/>
      <c r="S340" s="35"/>
      <c r="T340" s="35"/>
      <c r="U340" s="35"/>
      <c r="V340" s="35"/>
    </row>
    <row r="341">
      <c r="A341" s="43"/>
      <c r="B341" s="30"/>
      <c r="C341" s="31"/>
      <c r="D341" s="31"/>
      <c r="E341" s="31"/>
      <c r="F341" s="31"/>
      <c r="G341" s="44"/>
      <c r="H341" s="34"/>
      <c r="I341" s="45"/>
      <c r="J341" s="11" t="str">
        <f t="shared" si="32"/>
        <v/>
      </c>
      <c r="K341" s="31"/>
      <c r="L341" s="35"/>
      <c r="M341" s="35"/>
      <c r="N341" s="31"/>
      <c r="O341" s="35"/>
      <c r="P341" s="31"/>
      <c r="Q341" s="31"/>
      <c r="R341" s="35"/>
      <c r="S341" s="35"/>
      <c r="T341" s="35"/>
      <c r="U341" s="35"/>
      <c r="V341" s="35"/>
    </row>
    <row r="342">
      <c r="A342" s="43"/>
      <c r="B342" s="30"/>
      <c r="C342" s="31"/>
      <c r="D342" s="31"/>
      <c r="E342" s="31"/>
      <c r="F342" s="31"/>
      <c r="G342" s="44"/>
      <c r="H342" s="34"/>
      <c r="I342" s="45"/>
      <c r="J342" s="11" t="str">
        <f t="shared" si="32"/>
        <v/>
      </c>
      <c r="K342" s="31"/>
      <c r="L342" s="35"/>
      <c r="M342" s="35"/>
      <c r="N342" s="31"/>
      <c r="O342" s="35"/>
      <c r="P342" s="31"/>
      <c r="Q342" s="31"/>
      <c r="R342" s="35"/>
      <c r="S342" s="35"/>
      <c r="T342" s="35"/>
      <c r="U342" s="35"/>
      <c r="V342" s="35"/>
    </row>
    <row r="343">
      <c r="A343" s="43"/>
      <c r="B343" s="30"/>
      <c r="C343" s="31"/>
      <c r="D343" s="31"/>
      <c r="E343" s="31"/>
      <c r="F343" s="31"/>
      <c r="G343" s="44"/>
      <c r="H343" s="34"/>
      <c r="I343" s="45"/>
      <c r="J343" s="11" t="str">
        <f t="shared" si="32"/>
        <v/>
      </c>
      <c r="K343" s="31"/>
      <c r="L343" s="35"/>
      <c r="M343" s="35"/>
      <c r="N343" s="31"/>
      <c r="O343" s="35"/>
      <c r="P343" s="31"/>
      <c r="Q343" s="31"/>
      <c r="R343" s="35"/>
      <c r="S343" s="35"/>
      <c r="T343" s="35"/>
      <c r="U343" s="35"/>
      <c r="V343" s="35"/>
    </row>
    <row r="344">
      <c r="A344" s="43"/>
      <c r="B344" s="30"/>
      <c r="C344" s="31"/>
      <c r="D344" s="31"/>
      <c r="E344" s="31"/>
      <c r="F344" s="31"/>
      <c r="G344" s="44"/>
      <c r="H344" s="34"/>
      <c r="I344" s="45"/>
      <c r="J344" s="11" t="str">
        <f t="shared" si="32"/>
        <v/>
      </c>
      <c r="K344" s="31"/>
      <c r="L344" s="35"/>
      <c r="M344" s="35"/>
      <c r="N344" s="31"/>
      <c r="O344" s="35"/>
      <c r="P344" s="31"/>
      <c r="Q344" s="31"/>
      <c r="R344" s="35"/>
      <c r="S344" s="35"/>
      <c r="T344" s="35"/>
      <c r="U344" s="35"/>
      <c r="V344" s="35"/>
    </row>
    <row r="345">
      <c r="A345" s="43"/>
      <c r="B345" s="30"/>
      <c r="C345" s="31"/>
      <c r="D345" s="31"/>
      <c r="E345" s="31"/>
      <c r="F345" s="31"/>
      <c r="G345" s="44"/>
      <c r="H345" s="34"/>
      <c r="I345" s="45"/>
      <c r="J345" s="11" t="str">
        <f t="shared" si="32"/>
        <v/>
      </c>
      <c r="K345" s="31"/>
      <c r="L345" s="35"/>
      <c r="M345" s="35"/>
      <c r="N345" s="31"/>
      <c r="O345" s="35"/>
      <c r="P345" s="31"/>
      <c r="Q345" s="31"/>
      <c r="R345" s="35"/>
      <c r="S345" s="35"/>
      <c r="T345" s="35"/>
      <c r="U345" s="35"/>
      <c r="V345" s="35"/>
    </row>
    <row r="346">
      <c r="A346" s="43"/>
      <c r="B346" s="30"/>
      <c r="C346" s="31"/>
      <c r="D346" s="31"/>
      <c r="E346" s="31"/>
      <c r="F346" s="31"/>
      <c r="G346" s="44"/>
      <c r="H346" s="34"/>
      <c r="I346" s="45"/>
      <c r="J346" s="11" t="str">
        <f t="shared" si="32"/>
        <v/>
      </c>
      <c r="K346" s="31"/>
      <c r="L346" s="35"/>
      <c r="M346" s="35"/>
      <c r="N346" s="31"/>
      <c r="O346" s="35"/>
      <c r="P346" s="31"/>
      <c r="Q346" s="31"/>
      <c r="R346" s="35"/>
      <c r="S346" s="35"/>
      <c r="T346" s="35"/>
      <c r="U346" s="35"/>
      <c r="V346" s="35"/>
    </row>
    <row r="347">
      <c r="A347" s="43"/>
      <c r="B347" s="30"/>
      <c r="C347" s="31"/>
      <c r="D347" s="31"/>
      <c r="E347" s="31"/>
      <c r="F347" s="31"/>
      <c r="G347" s="44"/>
      <c r="H347" s="34"/>
      <c r="I347" s="45"/>
      <c r="J347" s="11" t="str">
        <f t="shared" si="32"/>
        <v/>
      </c>
      <c r="K347" s="31"/>
      <c r="L347" s="35"/>
      <c r="M347" s="35"/>
      <c r="N347" s="31"/>
      <c r="O347" s="35"/>
      <c r="P347" s="31"/>
      <c r="Q347" s="31"/>
      <c r="R347" s="35"/>
      <c r="S347" s="35"/>
      <c r="T347" s="35"/>
      <c r="U347" s="35"/>
      <c r="V347" s="35"/>
    </row>
    <row r="348">
      <c r="A348" s="43"/>
      <c r="B348" s="30"/>
      <c r="C348" s="31"/>
      <c r="D348" s="31"/>
      <c r="E348" s="31"/>
      <c r="F348" s="31"/>
      <c r="G348" s="44"/>
      <c r="H348" s="34"/>
      <c r="I348" s="45"/>
      <c r="J348" s="11" t="str">
        <f t="shared" si="32"/>
        <v/>
      </c>
      <c r="K348" s="31"/>
      <c r="L348" s="35"/>
      <c r="M348" s="35"/>
      <c r="N348" s="31"/>
      <c r="O348" s="35"/>
      <c r="P348" s="31"/>
      <c r="Q348" s="31"/>
      <c r="R348" s="35"/>
      <c r="S348" s="35"/>
      <c r="T348" s="35"/>
      <c r="U348" s="35"/>
      <c r="V348" s="35"/>
    </row>
    <row r="349">
      <c r="A349" s="43"/>
      <c r="B349" s="30"/>
      <c r="C349" s="31"/>
      <c r="D349" s="31"/>
      <c r="E349" s="31"/>
      <c r="F349" s="31"/>
      <c r="G349" s="44"/>
      <c r="H349" s="34"/>
      <c r="I349" s="45"/>
      <c r="J349" s="11" t="str">
        <f t="shared" si="32"/>
        <v/>
      </c>
      <c r="K349" s="31"/>
      <c r="L349" s="35"/>
      <c r="M349" s="35"/>
      <c r="N349" s="31"/>
      <c r="O349" s="35"/>
      <c r="P349" s="31"/>
      <c r="Q349" s="31"/>
      <c r="R349" s="35"/>
      <c r="S349" s="35"/>
      <c r="T349" s="35"/>
      <c r="U349" s="35"/>
      <c r="V349" s="35"/>
    </row>
    <row r="350">
      <c r="A350" s="43"/>
      <c r="B350" s="30"/>
      <c r="C350" s="31"/>
      <c r="D350" s="31"/>
      <c r="E350" s="31"/>
      <c r="F350" s="31"/>
      <c r="G350" s="44"/>
      <c r="H350" s="34"/>
      <c r="I350" s="45"/>
      <c r="J350" s="11" t="str">
        <f t="shared" si="32"/>
        <v/>
      </c>
      <c r="K350" s="31"/>
      <c r="L350" s="35"/>
      <c r="M350" s="35"/>
      <c r="N350" s="31"/>
      <c r="O350" s="35"/>
      <c r="P350" s="31"/>
      <c r="Q350" s="31"/>
      <c r="R350" s="35"/>
      <c r="S350" s="35"/>
      <c r="T350" s="35"/>
      <c r="U350" s="35"/>
      <c r="V350" s="35"/>
    </row>
    <row r="351">
      <c r="A351" s="43"/>
      <c r="B351" s="30"/>
      <c r="C351" s="31"/>
      <c r="D351" s="31"/>
      <c r="E351" s="31"/>
      <c r="F351" s="31"/>
      <c r="G351" s="44"/>
      <c r="H351" s="34"/>
      <c r="I351" s="45"/>
      <c r="J351" s="11" t="str">
        <f t="shared" si="32"/>
        <v/>
      </c>
      <c r="K351" s="31"/>
      <c r="L351" s="35"/>
      <c r="M351" s="35"/>
      <c r="N351" s="31"/>
      <c r="O351" s="35"/>
      <c r="P351" s="31"/>
      <c r="Q351" s="31"/>
      <c r="R351" s="35"/>
      <c r="S351" s="35"/>
      <c r="T351" s="35"/>
      <c r="U351" s="35"/>
      <c r="V351" s="35"/>
    </row>
    <row r="352">
      <c r="A352" s="43"/>
      <c r="B352" s="30"/>
      <c r="C352" s="31"/>
      <c r="D352" s="31"/>
      <c r="E352" s="31"/>
      <c r="F352" s="31"/>
      <c r="G352" s="44"/>
      <c r="H352" s="34"/>
      <c r="I352" s="45"/>
      <c r="J352" s="11" t="str">
        <f t="shared" si="32"/>
        <v/>
      </c>
      <c r="K352" s="31"/>
      <c r="L352" s="35"/>
      <c r="M352" s="35"/>
      <c r="N352" s="31"/>
      <c r="O352" s="35"/>
      <c r="P352" s="31"/>
      <c r="Q352" s="31"/>
      <c r="R352" s="35"/>
      <c r="S352" s="35"/>
      <c r="T352" s="35"/>
      <c r="U352" s="35"/>
      <c r="V352" s="35"/>
    </row>
    <row r="353">
      <c r="A353" s="43"/>
      <c r="B353" s="30"/>
      <c r="C353" s="31"/>
      <c r="D353" s="31"/>
      <c r="E353" s="31"/>
      <c r="F353" s="31"/>
      <c r="G353" s="44"/>
      <c r="H353" s="34"/>
      <c r="I353" s="45"/>
      <c r="J353" s="11" t="str">
        <f t="shared" si="32"/>
        <v/>
      </c>
      <c r="K353" s="31"/>
      <c r="L353" s="35"/>
      <c r="M353" s="35"/>
      <c r="N353" s="31"/>
      <c r="O353" s="35"/>
      <c r="P353" s="31"/>
      <c r="Q353" s="31"/>
      <c r="R353" s="35"/>
      <c r="S353" s="35"/>
      <c r="T353" s="35"/>
      <c r="U353" s="35"/>
      <c r="V353" s="35"/>
    </row>
    <row r="354">
      <c r="A354" s="43"/>
      <c r="B354" s="30"/>
      <c r="C354" s="31"/>
      <c r="D354" s="31"/>
      <c r="E354" s="31"/>
      <c r="F354" s="31"/>
      <c r="G354" s="44"/>
      <c r="H354" s="34"/>
      <c r="I354" s="45"/>
      <c r="J354" s="11" t="str">
        <f t="shared" si="32"/>
        <v/>
      </c>
      <c r="K354" s="31"/>
      <c r="L354" s="35"/>
      <c r="M354" s="35"/>
      <c r="N354" s="31"/>
      <c r="O354" s="35"/>
      <c r="P354" s="31"/>
      <c r="Q354" s="31"/>
      <c r="R354" s="35"/>
      <c r="S354" s="35"/>
      <c r="T354" s="35"/>
      <c r="U354" s="35"/>
      <c r="V354" s="35"/>
    </row>
    <row r="355">
      <c r="A355" s="43"/>
      <c r="B355" s="30"/>
      <c r="C355" s="31"/>
      <c r="D355" s="31"/>
      <c r="E355" s="31"/>
      <c r="F355" s="31"/>
      <c r="G355" s="44"/>
      <c r="H355" s="34"/>
      <c r="I355" s="45"/>
      <c r="J355" s="11" t="str">
        <f t="shared" si="32"/>
        <v/>
      </c>
      <c r="K355" s="31"/>
      <c r="L355" s="35"/>
      <c r="M355" s="35"/>
      <c r="N355" s="31"/>
      <c r="O355" s="35"/>
      <c r="P355" s="31"/>
      <c r="Q355" s="31"/>
      <c r="R355" s="35"/>
      <c r="S355" s="35"/>
      <c r="T355" s="35"/>
      <c r="U355" s="35"/>
      <c r="V355" s="35"/>
    </row>
    <row r="356">
      <c r="A356" s="43"/>
      <c r="B356" s="30"/>
      <c r="C356" s="31"/>
      <c r="D356" s="31"/>
      <c r="E356" s="31"/>
      <c r="F356" s="31"/>
      <c r="G356" s="44"/>
      <c r="H356" s="34"/>
      <c r="I356" s="45"/>
      <c r="J356" s="11" t="str">
        <f t="shared" si="32"/>
        <v/>
      </c>
      <c r="K356" s="31"/>
      <c r="L356" s="35"/>
      <c r="M356" s="35"/>
      <c r="N356" s="31"/>
      <c r="O356" s="35"/>
      <c r="P356" s="31"/>
      <c r="Q356" s="31"/>
      <c r="R356" s="35"/>
      <c r="S356" s="35"/>
      <c r="T356" s="35"/>
      <c r="U356" s="35"/>
      <c r="V356" s="35"/>
    </row>
    <row r="357">
      <c r="A357" s="43"/>
      <c r="B357" s="30"/>
      <c r="C357" s="31"/>
      <c r="D357" s="31"/>
      <c r="E357" s="31"/>
      <c r="F357" s="31"/>
      <c r="G357" s="44"/>
      <c r="H357" s="34"/>
      <c r="I357" s="45"/>
      <c r="J357" s="11" t="str">
        <f t="shared" si="32"/>
        <v/>
      </c>
      <c r="K357" s="31"/>
      <c r="L357" s="35"/>
      <c r="M357" s="35"/>
      <c r="N357" s="31"/>
      <c r="O357" s="35"/>
      <c r="P357" s="31"/>
      <c r="Q357" s="31"/>
      <c r="R357" s="35"/>
      <c r="S357" s="35"/>
      <c r="T357" s="35"/>
      <c r="U357" s="35"/>
      <c r="V357" s="35"/>
    </row>
    <row r="358">
      <c r="A358" s="43"/>
      <c r="B358" s="30"/>
      <c r="C358" s="31"/>
      <c r="D358" s="31"/>
      <c r="E358" s="31"/>
      <c r="F358" s="31"/>
      <c r="G358" s="44"/>
      <c r="H358" s="34"/>
      <c r="I358" s="45"/>
      <c r="J358" s="11" t="str">
        <f t="shared" si="32"/>
        <v/>
      </c>
      <c r="K358" s="31"/>
      <c r="L358" s="35"/>
      <c r="M358" s="35"/>
      <c r="N358" s="31"/>
      <c r="O358" s="35"/>
      <c r="P358" s="31"/>
      <c r="Q358" s="31"/>
      <c r="R358" s="35"/>
      <c r="S358" s="35"/>
      <c r="T358" s="35"/>
      <c r="U358" s="35"/>
      <c r="V358" s="35"/>
    </row>
    <row r="359">
      <c r="A359" s="43"/>
      <c r="B359" s="30"/>
      <c r="C359" s="31"/>
      <c r="D359" s="31"/>
      <c r="E359" s="31"/>
      <c r="F359" s="31"/>
      <c r="G359" s="44"/>
      <c r="H359" s="34"/>
      <c r="I359" s="45"/>
      <c r="J359" s="11" t="str">
        <f t="shared" si="32"/>
        <v/>
      </c>
      <c r="K359" s="31"/>
      <c r="L359" s="35"/>
      <c r="M359" s="35"/>
      <c r="N359" s="31"/>
      <c r="O359" s="35"/>
      <c r="P359" s="31"/>
      <c r="Q359" s="31"/>
      <c r="R359" s="35"/>
      <c r="S359" s="35"/>
      <c r="T359" s="35"/>
      <c r="U359" s="35"/>
      <c r="V359" s="35"/>
    </row>
    <row r="360">
      <c r="A360" s="43"/>
      <c r="B360" s="30"/>
      <c r="C360" s="31"/>
      <c r="D360" s="31"/>
      <c r="E360" s="31"/>
      <c r="F360" s="31"/>
      <c r="G360" s="44"/>
      <c r="H360" s="34"/>
      <c r="I360" s="45"/>
      <c r="J360" s="11" t="str">
        <f t="shared" si="32"/>
        <v/>
      </c>
      <c r="K360" s="31"/>
      <c r="L360" s="35"/>
      <c r="M360" s="35"/>
      <c r="N360" s="31"/>
      <c r="O360" s="35"/>
      <c r="P360" s="31"/>
      <c r="Q360" s="31"/>
      <c r="R360" s="35"/>
      <c r="S360" s="35"/>
      <c r="T360" s="35"/>
      <c r="U360" s="35"/>
      <c r="V360" s="35"/>
    </row>
    <row r="361">
      <c r="A361" s="43"/>
      <c r="B361" s="30"/>
      <c r="C361" s="31"/>
      <c r="D361" s="31"/>
      <c r="E361" s="31"/>
      <c r="F361" s="31"/>
      <c r="G361" s="44"/>
      <c r="H361" s="34"/>
      <c r="I361" s="45"/>
      <c r="J361" s="11" t="str">
        <f t="shared" si="32"/>
        <v/>
      </c>
      <c r="K361" s="31"/>
      <c r="L361" s="35"/>
      <c r="M361" s="35"/>
      <c r="N361" s="31"/>
      <c r="O361" s="35"/>
      <c r="P361" s="31"/>
      <c r="Q361" s="31"/>
      <c r="R361" s="35"/>
      <c r="S361" s="35"/>
      <c r="T361" s="35"/>
      <c r="U361" s="35"/>
      <c r="V361" s="35"/>
    </row>
    <row r="362">
      <c r="A362" s="43"/>
      <c r="B362" s="30"/>
      <c r="C362" s="31"/>
      <c r="D362" s="31"/>
      <c r="E362" s="31"/>
      <c r="F362" s="31"/>
      <c r="G362" s="44"/>
      <c r="H362" s="34"/>
      <c r="I362" s="45"/>
      <c r="J362" s="11" t="str">
        <f t="shared" si="32"/>
        <v/>
      </c>
      <c r="K362" s="31"/>
      <c r="L362" s="35"/>
      <c r="M362" s="35"/>
      <c r="N362" s="31"/>
      <c r="O362" s="35"/>
      <c r="P362" s="31"/>
      <c r="Q362" s="31"/>
      <c r="R362" s="35"/>
      <c r="S362" s="35"/>
      <c r="T362" s="35"/>
      <c r="U362" s="35"/>
      <c r="V362" s="35"/>
    </row>
    <row r="363">
      <c r="A363" s="43"/>
      <c r="B363" s="30"/>
      <c r="C363" s="31"/>
      <c r="D363" s="31"/>
      <c r="E363" s="31"/>
      <c r="F363" s="31"/>
      <c r="G363" s="44"/>
      <c r="H363" s="34"/>
      <c r="I363" s="45"/>
      <c r="J363" s="11" t="str">
        <f t="shared" si="32"/>
        <v/>
      </c>
      <c r="K363" s="31"/>
      <c r="L363" s="35"/>
      <c r="M363" s="35"/>
      <c r="N363" s="31"/>
      <c r="O363" s="35"/>
      <c r="P363" s="31"/>
      <c r="Q363" s="31"/>
      <c r="R363" s="35"/>
      <c r="S363" s="35"/>
      <c r="T363" s="35"/>
      <c r="U363" s="35"/>
      <c r="V363" s="35"/>
    </row>
    <row r="364">
      <c r="A364" s="43"/>
      <c r="B364" s="30"/>
      <c r="C364" s="31"/>
      <c r="D364" s="31"/>
      <c r="E364" s="31"/>
      <c r="F364" s="31"/>
      <c r="G364" s="44"/>
      <c r="H364" s="34"/>
      <c r="I364" s="45"/>
      <c r="J364" s="11" t="str">
        <f t="shared" si="32"/>
        <v/>
      </c>
      <c r="K364" s="31"/>
      <c r="L364" s="35"/>
      <c r="M364" s="35"/>
      <c r="N364" s="31"/>
      <c r="O364" s="35"/>
      <c r="P364" s="31"/>
      <c r="Q364" s="31"/>
      <c r="R364" s="35"/>
      <c r="S364" s="35"/>
      <c r="T364" s="35"/>
      <c r="U364" s="35"/>
      <c r="V364" s="35"/>
    </row>
    <row r="365">
      <c r="A365" s="43"/>
      <c r="B365" s="30"/>
      <c r="C365" s="31"/>
      <c r="D365" s="31"/>
      <c r="E365" s="31"/>
      <c r="F365" s="31"/>
      <c r="G365" s="44"/>
      <c r="H365" s="34"/>
      <c r="I365" s="45"/>
      <c r="J365" s="11" t="str">
        <f t="shared" si="32"/>
        <v/>
      </c>
      <c r="K365" s="31"/>
      <c r="L365" s="35"/>
      <c r="M365" s="35"/>
      <c r="N365" s="31"/>
      <c r="O365" s="35"/>
      <c r="P365" s="31"/>
      <c r="Q365" s="31"/>
      <c r="R365" s="35"/>
      <c r="S365" s="35"/>
      <c r="T365" s="35"/>
      <c r="U365" s="35"/>
      <c r="V365" s="35"/>
    </row>
    <row r="366">
      <c r="D366" s="46"/>
      <c r="I366" s="47"/>
    </row>
    <row r="367">
      <c r="D367" s="46"/>
    </row>
    <row r="368">
      <c r="D368" s="46"/>
    </row>
    <row r="369">
      <c r="D369" s="46"/>
    </row>
  </sheetData>
  <conditionalFormatting sqref="H2:H364">
    <cfRule type="containsText" dxfId="5" priority="1" operator="containsText" text="Urgente">
      <formula>NOT(ISERROR(SEARCH(("Urgente"),(H2))))</formula>
    </cfRule>
  </conditionalFormatting>
  <conditionalFormatting sqref="H2:H369">
    <cfRule type="containsText" dxfId="6" priority="2" operator="containsText" text="Importante">
      <formula>NOT(ISERROR(SEARCH(("Importante"),(H2))))</formula>
    </cfRule>
  </conditionalFormatting>
  <conditionalFormatting sqref="I2:I369 J67:J68 J270">
    <cfRule type="containsText" dxfId="7" priority="3" operator="containsText" text="Terminado">
      <formula>NOT(ISERROR(SEARCH(("Terminado"),(I2))))</formula>
    </cfRule>
  </conditionalFormatting>
  <conditionalFormatting sqref="I2:I369 J67:J68 J270">
    <cfRule type="containsText" dxfId="6" priority="4" operator="containsText" text="En curso">
      <formula>NOT(ISERROR(SEARCH(("En curso"),(I2))))</formula>
    </cfRule>
  </conditionalFormatting>
  <conditionalFormatting sqref="I2:I369 J67:J68 J270">
    <cfRule type="containsText" dxfId="8" priority="5" operator="containsText" text="Atrasado">
      <formula>NOT(ISERROR(SEARCH(("Atrasado"),(I2))))</formula>
    </cfRule>
  </conditionalFormatting>
  <conditionalFormatting sqref="J2:J365">
    <cfRule type="expression" dxfId="9" priority="6">
      <formula>"SI(E2="terminado"; SI(F2=""; AHORA(); F2); "")"</formula>
    </cfRule>
  </conditionalFormatting>
  <conditionalFormatting sqref="J2:J365">
    <cfRule type="notContainsBlanks" dxfId="10" priority="7">
      <formula>LEN(TRIM(J2))&gt;0</formula>
    </cfRule>
  </conditionalFormatting>
  <conditionalFormatting sqref="F2:F357">
    <cfRule type="containsText" dxfId="11" priority="8" operator="containsText" text="Fernando">
      <formula>NOT(ISERROR(SEARCH(("Fernando"),(F2))))</formula>
    </cfRule>
  </conditionalFormatting>
  <conditionalFormatting sqref="F2:F357">
    <cfRule type="containsText" dxfId="12" priority="9" operator="containsText" text="Johanna">
      <formula>NOT(ISERROR(SEARCH(("Johanna"),(F2))))</formula>
    </cfRule>
  </conditionalFormatting>
  <conditionalFormatting sqref="K2:K357">
    <cfRule type="containsBlanks" dxfId="9" priority="10">
      <formula>LEN(TRIM(K2))=0</formula>
    </cfRule>
  </conditionalFormatting>
  <conditionalFormatting sqref="K2:K357">
    <cfRule type="notContainsText" dxfId="13" priority="11" operator="notContains" text="Mercadeo">
      <formula>ISERROR(SEARCH(("Mercadeo"),(K2)))</formula>
    </cfRule>
  </conditionalFormatting>
  <dataValidations>
    <dataValidation type="list" allowBlank="1" sqref="I2:I365">
      <formula1>"Atrasado,Sin empezar,En curso,Cancelado,Terminado,Por aprobar,Solicitud Incompleta,Sin empezar,No a tiempo,Sin empezar"</formula1>
    </dataValidation>
    <dataValidation type="list" allowBlank="1" showErrorMessage="1" sqref="H2:H365">
      <formula1>"Normal,Importante,Urgente"</formula1>
    </dataValidation>
    <dataValidation type="custom" allowBlank="1" showDropDown="1" sqref="J2:J365">
      <formula1>OR(NOT(ISERROR(DATEVALUE(J2))), AND(ISNUMBER(J2), LEFT(CELL("format", J2))="D"))</formula1>
    </dataValidation>
  </dataValidations>
  <hyperlinks>
    <hyperlink r:id="rId4" ref="D2"/>
    <hyperlink r:id="rId5" ref="G2"/>
    <hyperlink r:id="rId6" ref="D3"/>
    <hyperlink r:id="rId7" ref="G3"/>
    <hyperlink r:id="rId8" ref="D4"/>
    <hyperlink r:id="rId9" ref="G4"/>
    <hyperlink r:id="rId10" ref="D5"/>
    <hyperlink r:id="rId11" ref="G5"/>
    <hyperlink r:id="rId12" ref="D6"/>
    <hyperlink r:id="rId13" ref="G6"/>
    <hyperlink r:id="rId14" ref="G7"/>
    <hyperlink r:id="rId15" ref="G8"/>
    <hyperlink r:id="rId16" ref="G9"/>
    <hyperlink r:id="rId17" ref="G10"/>
    <hyperlink r:id="rId18" ref="D11"/>
    <hyperlink r:id="rId19" ref="G11"/>
    <hyperlink r:id="rId20" ref="G12"/>
    <hyperlink r:id="rId21" ref="G13"/>
    <hyperlink r:id="rId22" ref="G14"/>
    <hyperlink r:id="rId23" ref="G15"/>
    <hyperlink r:id="rId24" ref="D16"/>
    <hyperlink r:id="rId25" ref="G16"/>
    <hyperlink r:id="rId26" ref="D17"/>
    <hyperlink r:id="rId27" ref="G17"/>
    <hyperlink r:id="rId28" ref="L17"/>
    <hyperlink r:id="rId29" ref="D18"/>
    <hyperlink r:id="rId30" ref="G18"/>
    <hyperlink r:id="rId31" ref="L18"/>
    <hyperlink r:id="rId32" ref="D19"/>
    <hyperlink r:id="rId33" ref="G19"/>
    <hyperlink r:id="rId34" ref="D20"/>
    <hyperlink r:id="rId35" ref="G20"/>
    <hyperlink r:id="rId36" ref="D21"/>
    <hyperlink r:id="rId37" ref="G21"/>
    <hyperlink r:id="rId38" ref="G22"/>
    <hyperlink r:id="rId39" ref="G23"/>
    <hyperlink r:id="rId40" ref="D24"/>
    <hyperlink r:id="rId41" ref="G24"/>
    <hyperlink r:id="rId42" ref="D25"/>
    <hyperlink r:id="rId43" ref="G25"/>
    <hyperlink r:id="rId44" ref="D26"/>
    <hyperlink r:id="rId45" ref="G26"/>
    <hyperlink r:id="rId46" ref="D27"/>
    <hyperlink r:id="rId47" ref="G27"/>
    <hyperlink r:id="rId48" ref="D28"/>
    <hyperlink r:id="rId49" ref="G28"/>
    <hyperlink r:id="rId50" ref="G29"/>
    <hyperlink r:id="rId51" ref="G30"/>
    <hyperlink r:id="rId52" ref="G31"/>
    <hyperlink r:id="rId53" ref="G32"/>
    <hyperlink r:id="rId54" ref="G33"/>
    <hyperlink r:id="rId55" ref="L33"/>
    <hyperlink r:id="rId56" ref="D34"/>
    <hyperlink r:id="rId57" ref="G34"/>
    <hyperlink r:id="rId58" ref="D35"/>
    <hyperlink r:id="rId59" ref="G35"/>
    <hyperlink r:id="rId60" ref="D36"/>
    <hyperlink r:id="rId61" ref="G36"/>
    <hyperlink r:id="rId62" ref="D37"/>
    <hyperlink r:id="rId63" ref="G37"/>
    <hyperlink r:id="rId64" ref="G38"/>
    <hyperlink r:id="rId65" ref="G39"/>
    <hyperlink r:id="rId66" ref="G41"/>
    <hyperlink r:id="rId67" ref="G42"/>
    <hyperlink r:id="rId68" ref="D43"/>
    <hyperlink r:id="rId69" ref="G43"/>
    <hyperlink r:id="rId70" ref="G44"/>
    <hyperlink r:id="rId71" ref="D45"/>
    <hyperlink r:id="rId72" ref="G45"/>
    <hyperlink r:id="rId73" ref="D46"/>
    <hyperlink r:id="rId74" ref="G46"/>
    <hyperlink r:id="rId75" ref="D47"/>
    <hyperlink r:id="rId76" ref="G47"/>
    <hyperlink r:id="rId77" ref="G48"/>
    <hyperlink r:id="rId78" ref="D49"/>
    <hyperlink r:id="rId79" ref="G49"/>
    <hyperlink r:id="rId80" ref="D51"/>
    <hyperlink r:id="rId81" ref="G51"/>
    <hyperlink r:id="rId82" ref="D52"/>
    <hyperlink r:id="rId83" ref="G52"/>
    <hyperlink r:id="rId84" ref="G53"/>
    <hyperlink r:id="rId85" ref="D54"/>
    <hyperlink r:id="rId86" ref="G54"/>
    <hyperlink r:id="rId87" ref="G55"/>
    <hyperlink r:id="rId88" ref="L55"/>
    <hyperlink r:id="rId89" ref="G56"/>
    <hyperlink r:id="rId90" ref="D58"/>
    <hyperlink r:id="rId91" ref="G58"/>
    <hyperlink r:id="rId92" ref="G61"/>
    <hyperlink r:id="rId93" ref="G62"/>
    <hyperlink r:id="rId94" ref="G63"/>
    <hyperlink r:id="rId95" ref="D64"/>
    <hyperlink r:id="rId96" ref="G64"/>
    <hyperlink r:id="rId97" ref="D65"/>
    <hyperlink r:id="rId98" ref="G65"/>
    <hyperlink r:id="rId99" ref="D66"/>
    <hyperlink r:id="rId100" ref="G66"/>
    <hyperlink r:id="rId101" ref="G67"/>
    <hyperlink r:id="rId102" ref="D68"/>
    <hyperlink r:id="rId103" ref="G68"/>
    <hyperlink r:id="rId104" ref="G69"/>
    <hyperlink r:id="rId105" ref="L69"/>
    <hyperlink r:id="rId106" ref="D70"/>
    <hyperlink r:id="rId107" ref="G70"/>
    <hyperlink r:id="rId108" ref="D71"/>
    <hyperlink r:id="rId109" ref="G71"/>
    <hyperlink r:id="rId110" ref="D72"/>
    <hyperlink r:id="rId111" ref="G72"/>
    <hyperlink r:id="rId112" ref="D73"/>
    <hyperlink r:id="rId113" ref="G73"/>
    <hyperlink r:id="rId114" ref="D74"/>
    <hyperlink r:id="rId115" ref="G74"/>
    <hyperlink r:id="rId116" ref="G75"/>
    <hyperlink r:id="rId117" ref="G76"/>
    <hyperlink r:id="rId118" ref="D77"/>
    <hyperlink r:id="rId119" ref="G77"/>
    <hyperlink r:id="rId120" ref="G78"/>
    <hyperlink r:id="rId121" ref="G79"/>
    <hyperlink r:id="rId122" ref="D80"/>
    <hyperlink r:id="rId123" ref="G80"/>
    <hyperlink r:id="rId124" ref="G81"/>
    <hyperlink r:id="rId125" ref="G82"/>
    <hyperlink r:id="rId126" ref="G83"/>
    <hyperlink r:id="rId127" ref="L83"/>
    <hyperlink r:id="rId128" ref="G84"/>
    <hyperlink r:id="rId129" ref="L84"/>
    <hyperlink r:id="rId130" ref="D85"/>
    <hyperlink r:id="rId131" ref="G85"/>
    <hyperlink r:id="rId132" ref="G86"/>
    <hyperlink r:id="rId133" ref="D87"/>
    <hyperlink r:id="rId134" ref="G87"/>
    <hyperlink r:id="rId135" ref="D88"/>
    <hyperlink r:id="rId136" ref="G88"/>
    <hyperlink r:id="rId137" ref="G89"/>
    <hyperlink r:id="rId138" ref="D90"/>
    <hyperlink r:id="rId139" ref="G90"/>
    <hyperlink r:id="rId140" ref="D91"/>
    <hyperlink r:id="rId141" ref="G91"/>
    <hyperlink r:id="rId142" ref="D92"/>
    <hyperlink r:id="rId143" ref="G92"/>
    <hyperlink r:id="rId144" ref="G93"/>
    <hyperlink r:id="rId145" ref="L93"/>
    <hyperlink r:id="rId146" ref="D94"/>
    <hyperlink r:id="rId147" ref="G94"/>
    <hyperlink r:id="rId148" ref="G95"/>
    <hyperlink r:id="rId149" ref="D96"/>
    <hyperlink r:id="rId150" ref="G96"/>
    <hyperlink r:id="rId151" ref="D97"/>
    <hyperlink r:id="rId152" ref="G97"/>
    <hyperlink r:id="rId153" ref="G98"/>
    <hyperlink r:id="rId154" ref="G99"/>
    <hyperlink r:id="rId155" ref="D100"/>
    <hyperlink r:id="rId156" ref="G100"/>
    <hyperlink r:id="rId157" ref="G101"/>
    <hyperlink r:id="rId158" ref="G102"/>
    <hyperlink r:id="rId159" ref="L102"/>
    <hyperlink r:id="rId160" ref="D103"/>
    <hyperlink r:id="rId161" ref="G103"/>
    <hyperlink r:id="rId162" ref="G104"/>
    <hyperlink r:id="rId163" ref="G105"/>
    <hyperlink r:id="rId164" ref="D106"/>
    <hyperlink r:id="rId165" ref="G106"/>
    <hyperlink r:id="rId166" ref="G107"/>
    <hyperlink r:id="rId167" ref="G108"/>
    <hyperlink r:id="rId168" ref="G109"/>
    <hyperlink r:id="rId169" ref="G111"/>
    <hyperlink r:id="rId170" ref="G112"/>
    <hyperlink r:id="rId171" ref="G113"/>
    <hyperlink r:id="rId172" ref="G114"/>
    <hyperlink r:id="rId173" ref="G115"/>
    <hyperlink r:id="rId174" ref="L115"/>
    <hyperlink r:id="rId175" ref="D116"/>
    <hyperlink r:id="rId176" ref="G116"/>
    <hyperlink r:id="rId177" ref="D117"/>
    <hyperlink r:id="rId178" ref="G117"/>
    <hyperlink r:id="rId179" ref="D118"/>
    <hyperlink r:id="rId180" ref="G118"/>
    <hyperlink r:id="rId181" ref="D119"/>
    <hyperlink r:id="rId182" ref="G119"/>
    <hyperlink r:id="rId183" ref="G120"/>
    <hyperlink r:id="rId184" ref="G121"/>
    <hyperlink r:id="rId185" ref="L121"/>
    <hyperlink r:id="rId186" ref="G122"/>
    <hyperlink r:id="rId187" ref="G123"/>
    <hyperlink r:id="rId188" ref="G124"/>
    <hyperlink r:id="rId189" ref="G125"/>
    <hyperlink r:id="rId190" ref="G126"/>
    <hyperlink r:id="rId191" ref="G127"/>
    <hyperlink r:id="rId192" ref="G128"/>
    <hyperlink r:id="rId193" ref="D129"/>
    <hyperlink r:id="rId194" ref="G129"/>
    <hyperlink r:id="rId195" ref="G131"/>
    <hyperlink r:id="rId196" ref="G132"/>
    <hyperlink r:id="rId197" ref="G133"/>
    <hyperlink r:id="rId198" ref="D134"/>
    <hyperlink r:id="rId199" ref="G134"/>
    <hyperlink r:id="rId200" ref="D135"/>
    <hyperlink r:id="rId201" ref="G135"/>
    <hyperlink r:id="rId202" ref="D136"/>
    <hyperlink r:id="rId203" ref="G136"/>
    <hyperlink r:id="rId204" ref="D137"/>
    <hyperlink r:id="rId205" ref="G137"/>
    <hyperlink r:id="rId206" ref="G138"/>
    <hyperlink r:id="rId207" ref="D139"/>
    <hyperlink r:id="rId208" ref="G139"/>
    <hyperlink r:id="rId209" ref="D140"/>
    <hyperlink r:id="rId210" ref="G140"/>
    <hyperlink r:id="rId211" ref="G141"/>
    <hyperlink r:id="rId212" ref="G142"/>
    <hyperlink r:id="rId213" ref="D143"/>
    <hyperlink r:id="rId214" ref="G143"/>
    <hyperlink r:id="rId215" ref="D144"/>
    <hyperlink r:id="rId216" ref="G144"/>
    <hyperlink r:id="rId217" ref="D145"/>
    <hyperlink r:id="rId218" ref="G145"/>
    <hyperlink r:id="rId219" ref="L145"/>
    <hyperlink r:id="rId220" ref="D146"/>
    <hyperlink r:id="rId221" ref="G146"/>
    <hyperlink r:id="rId222" ref="D147"/>
    <hyperlink r:id="rId223" ref="G147"/>
    <hyperlink r:id="rId224" ref="L147"/>
    <hyperlink r:id="rId225" ref="G148"/>
    <hyperlink r:id="rId226" ref="D149"/>
    <hyperlink r:id="rId227" ref="G149"/>
    <hyperlink r:id="rId228" ref="L149"/>
    <hyperlink r:id="rId229" ref="D150"/>
    <hyperlink r:id="rId230" ref="G150"/>
    <hyperlink r:id="rId231" ref="G151"/>
    <hyperlink r:id="rId232" ref="D152"/>
    <hyperlink r:id="rId233" ref="G152"/>
    <hyperlink r:id="rId234" ref="L152"/>
    <hyperlink r:id="rId235" ref="G153"/>
    <hyperlink r:id="rId236" ref="L153"/>
    <hyperlink r:id="rId237" ref="D154"/>
    <hyperlink r:id="rId238" ref="G154"/>
    <hyperlink r:id="rId239" ref="L154"/>
    <hyperlink r:id="rId240" ref="G155"/>
    <hyperlink r:id="rId241" ref="L155"/>
    <hyperlink r:id="rId242" ref="G156"/>
    <hyperlink r:id="rId243" ref="G157"/>
    <hyperlink r:id="rId244" ref="L157"/>
    <hyperlink r:id="rId245" ref="G158"/>
    <hyperlink r:id="rId246" ref="L158"/>
    <hyperlink r:id="rId247" ref="G159"/>
    <hyperlink r:id="rId248" ref="D160"/>
    <hyperlink r:id="rId249" ref="G160"/>
    <hyperlink r:id="rId250" ref="L160"/>
    <hyperlink r:id="rId251" ref="G161"/>
    <hyperlink r:id="rId252" ref="G162"/>
    <hyperlink r:id="rId253" ref="G163"/>
    <hyperlink r:id="rId254" ref="D164"/>
    <hyperlink r:id="rId255" ref="G164"/>
    <hyperlink r:id="rId256" ref="D165"/>
    <hyperlink r:id="rId257" ref="G165"/>
    <hyperlink r:id="rId258" ref="G166"/>
    <hyperlink r:id="rId259" ref="G167"/>
    <hyperlink r:id="rId260" ref="D168"/>
    <hyperlink r:id="rId261" ref="G168"/>
    <hyperlink r:id="rId262" ref="D169"/>
    <hyperlink r:id="rId263" ref="G169"/>
    <hyperlink r:id="rId264" ref="D170"/>
    <hyperlink r:id="rId265" ref="G170"/>
    <hyperlink r:id="rId266" ref="D171"/>
    <hyperlink r:id="rId267" ref="G171"/>
    <hyperlink r:id="rId268" ref="D172"/>
    <hyperlink r:id="rId269" ref="G172"/>
    <hyperlink r:id="rId270" ref="G173"/>
    <hyperlink r:id="rId271" ref="G174"/>
    <hyperlink r:id="rId272" ref="L174"/>
    <hyperlink r:id="rId273" ref="G175"/>
    <hyperlink r:id="rId274" ref="L175"/>
    <hyperlink r:id="rId275" ref="G176"/>
    <hyperlink r:id="rId276" ref="L176"/>
    <hyperlink r:id="rId277" ref="G177"/>
    <hyperlink r:id="rId278" ref="D178"/>
    <hyperlink r:id="rId279" ref="G178"/>
    <hyperlink r:id="rId280" ref="L178"/>
    <hyperlink r:id="rId281" ref="D179"/>
    <hyperlink r:id="rId282" ref="G179"/>
    <hyperlink r:id="rId283" ref="D180"/>
    <hyperlink r:id="rId284" ref="G180"/>
    <hyperlink r:id="rId285" ref="G181"/>
    <hyperlink r:id="rId286" ref="G182"/>
    <hyperlink r:id="rId287" ref="L182"/>
    <hyperlink r:id="rId288" ref="D183"/>
    <hyperlink r:id="rId289" ref="G183"/>
    <hyperlink r:id="rId290" ref="G184"/>
    <hyperlink r:id="rId291" ref="L184"/>
    <hyperlink r:id="rId292" ref="D185"/>
    <hyperlink r:id="rId293" ref="G185"/>
    <hyperlink r:id="rId294" ref="D186"/>
    <hyperlink r:id="rId295" ref="G186"/>
    <hyperlink r:id="rId296" ref="G187"/>
    <hyperlink r:id="rId297" ref="G188"/>
    <hyperlink r:id="rId298" ref="L188"/>
    <hyperlink r:id="rId299" ref="G189"/>
    <hyperlink r:id="rId300" ref="D190"/>
    <hyperlink r:id="rId301" ref="G190"/>
    <hyperlink r:id="rId302" ref="G197"/>
    <hyperlink r:id="rId303" ref="G200"/>
    <hyperlink r:id="rId304" ref="G201"/>
    <hyperlink r:id="rId305" ref="D202"/>
    <hyperlink r:id="rId306" ref="G202"/>
    <hyperlink r:id="rId307" ref="G203"/>
    <hyperlink r:id="rId308" ref="D204"/>
    <hyperlink r:id="rId309" ref="G204"/>
    <hyperlink r:id="rId310" ref="D205"/>
    <hyperlink r:id="rId311" ref="G205"/>
    <hyperlink r:id="rId312" ref="G206"/>
    <hyperlink r:id="rId313" ref="L206"/>
    <hyperlink r:id="rId314" ref="D207"/>
    <hyperlink r:id="rId315" ref="G207"/>
    <hyperlink r:id="rId316" ref="G208"/>
    <hyperlink r:id="rId317" ref="G209"/>
    <hyperlink r:id="rId318" ref="L209"/>
    <hyperlink r:id="rId319" ref="D210"/>
    <hyperlink r:id="rId320" ref="G210"/>
    <hyperlink r:id="rId321" ref="G212"/>
    <hyperlink r:id="rId322" ref="L212"/>
    <hyperlink r:id="rId323" ref="G213"/>
    <hyperlink r:id="rId324" ref="G214"/>
    <hyperlink r:id="rId325" ref="D215"/>
    <hyperlink r:id="rId326" ref="G215"/>
    <hyperlink r:id="rId327" ref="D217"/>
    <hyperlink r:id="rId328" ref="G217"/>
    <hyperlink r:id="rId329" ref="D218"/>
    <hyperlink r:id="rId330" ref="G218"/>
    <hyperlink r:id="rId331" ref="G219"/>
    <hyperlink r:id="rId332" ref="D220"/>
    <hyperlink r:id="rId333" ref="G220"/>
    <hyperlink r:id="rId334" ref="D221"/>
    <hyperlink r:id="rId335" ref="G221"/>
    <hyperlink r:id="rId336" ref="G222"/>
    <hyperlink r:id="rId337" ref="L222"/>
    <hyperlink r:id="rId338" ref="G223"/>
    <hyperlink r:id="rId339" ref="L223"/>
    <hyperlink r:id="rId340" ref="G224"/>
    <hyperlink r:id="rId341" ref="D225"/>
    <hyperlink r:id="rId342" ref="G225"/>
    <hyperlink r:id="rId343" ref="D226"/>
    <hyperlink r:id="rId344" ref="G226"/>
    <hyperlink r:id="rId345" ref="D227"/>
    <hyperlink r:id="rId346" ref="G227"/>
    <hyperlink r:id="rId347" ref="D228"/>
    <hyperlink r:id="rId348" ref="G228"/>
    <hyperlink r:id="rId349" ref="D229"/>
    <hyperlink r:id="rId350" ref="G229"/>
    <hyperlink r:id="rId351" ref="G230"/>
    <hyperlink r:id="rId352" ref="D231"/>
    <hyperlink r:id="rId353" ref="G231"/>
    <hyperlink r:id="rId354" ref="G232"/>
    <hyperlink r:id="rId355" ref="L232"/>
    <hyperlink r:id="rId356" ref="D233"/>
    <hyperlink r:id="rId357" ref="G233"/>
    <hyperlink r:id="rId358" ref="G234"/>
    <hyperlink r:id="rId359" ref="L234"/>
    <hyperlink r:id="rId360" ref="G235"/>
    <hyperlink r:id="rId361" ref="D236"/>
    <hyperlink r:id="rId362" ref="G236"/>
    <hyperlink r:id="rId363" ref="G237"/>
    <hyperlink r:id="rId364" ref="L237"/>
    <hyperlink r:id="rId365" ref="D238"/>
    <hyperlink r:id="rId366" ref="G238"/>
    <hyperlink r:id="rId367" ref="G239"/>
    <hyperlink r:id="rId368" ref="L239"/>
    <hyperlink r:id="rId369" ref="D240"/>
    <hyperlink r:id="rId370" ref="G240"/>
    <hyperlink r:id="rId371" ref="D241"/>
    <hyperlink r:id="rId372" ref="G241"/>
    <hyperlink r:id="rId373" ref="G242"/>
    <hyperlink r:id="rId374" ref="G243"/>
    <hyperlink r:id="rId375" ref="D244"/>
    <hyperlink r:id="rId376" ref="G244"/>
    <hyperlink r:id="rId377" ref="G245"/>
    <hyperlink r:id="rId378" ref="G246"/>
    <hyperlink r:id="rId379" ref="G249"/>
    <hyperlink r:id="rId380" ref="L249"/>
    <hyperlink r:id="rId381" ref="G250"/>
    <hyperlink r:id="rId382" ref="G251"/>
    <hyperlink r:id="rId383" ref="L251"/>
    <hyperlink r:id="rId384" ref="G252"/>
    <hyperlink r:id="rId385" ref="G253"/>
    <hyperlink r:id="rId386" ref="L253"/>
    <hyperlink r:id="rId387" ref="D254"/>
    <hyperlink r:id="rId388" ref="G254"/>
    <hyperlink r:id="rId389" ref="D255"/>
    <hyperlink r:id="rId390" ref="G255"/>
    <hyperlink r:id="rId391" ref="G256"/>
    <hyperlink r:id="rId392" ref="D257"/>
    <hyperlink r:id="rId393" ref="G257"/>
    <hyperlink r:id="rId394" ref="G258"/>
    <hyperlink r:id="rId395" ref="G261"/>
    <hyperlink r:id="rId396" ref="L261"/>
    <hyperlink r:id="rId397" ref="D262"/>
    <hyperlink r:id="rId398" ref="G262"/>
    <hyperlink r:id="rId399" ref="G263"/>
    <hyperlink r:id="rId400" ref="L263"/>
    <hyperlink r:id="rId401" ref="G264"/>
    <hyperlink r:id="rId402" ref="G265"/>
    <hyperlink r:id="rId403" ref="L265"/>
    <hyperlink r:id="rId404" ref="G266"/>
    <hyperlink r:id="rId405" ref="G267"/>
  </hyperlinks>
  <drawing r:id="rId406"/>
  <legacyDrawing r:id="rId407"/>
  <tableParts count="1">
    <tablePart r:id="rId40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14.0"/>
  </cols>
  <sheetData>
    <row r="2"/>
    <row r="3"/>
    <row r="4"/>
    <row r="5"/>
    <row r="6"/>
    <row r="7"/>
    <row r="8"/>
    <row r="9"/>
    <row r="10"/>
  </sheetData>
  <drawing r:id="rId2"/>
</worksheet>
</file>